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_log" sheetId="1" state="visible" r:id="rId2"/>
    <sheet name="BA_prod" sheetId="2" state="visible" r:id="rId3"/>
  </sheets>
  <definedNames>
    <definedName function="false" hidden="false" localSheetId="0" name="solver_adj" vbProcedure="false">GR_log!$O$11:$O$13</definedName>
    <definedName function="false" hidden="false" localSheetId="0" name="solver_cvg" vbProcedure="false">0.0001</definedName>
    <definedName function="false" hidden="false" localSheetId="0" name="solver_drv" vbProcedure="false">1</definedName>
    <definedName function="false" hidden="false" localSheetId="0" name="solver_eng" vbProcedure="false">1</definedName>
    <definedName function="false" hidden="false" localSheetId="0" name="solver_est" vbProcedure="false">1</definedName>
    <definedName function="false" hidden="false" localSheetId="0" name="solver_itr" vbProcedure="false">2147483647</definedName>
    <definedName function="false" hidden="false" localSheetId="0" name="solver_mip" vbProcedure="false">2147483647</definedName>
    <definedName function="false" hidden="false" localSheetId="0" name="solver_mni" vbProcedure="false">30</definedName>
    <definedName function="false" hidden="false" localSheetId="0" name="solver_mrt" vbProcedure="false">0.075</definedName>
    <definedName function="false" hidden="false" localSheetId="0" name="solver_msl" vbProcedure="false">2</definedName>
    <definedName function="false" hidden="false" localSheetId="0" name="solver_neg" vbProcedure="false">1</definedName>
    <definedName function="false" hidden="false" localSheetId="0" name="solver_nod" vbProcedure="false">2147483647</definedName>
    <definedName function="false" hidden="false" localSheetId="0" name="solver_num" vbProcedure="false">0</definedName>
    <definedName function="false" hidden="false" localSheetId="0" name="solver_nwt" vbProcedure="false">1</definedName>
    <definedName function="false" hidden="false" localSheetId="0" name="solver_opt" vbProcedure="false">GR_log!$P$11</definedName>
    <definedName function="false" hidden="false" localSheetId="0" name="solver_pre" vbProcedure="false">0.000001</definedName>
    <definedName function="false" hidden="false" localSheetId="0" name="solver_rbv" vbProcedure="false">1</definedName>
    <definedName function="false" hidden="false" localSheetId="0" name="solver_rlx" vbProcedure="false">2</definedName>
    <definedName function="false" hidden="false" localSheetId="0" name="solver_rsd" vbProcedure="false">0</definedName>
    <definedName function="false" hidden="false" localSheetId="0" name="solver_scl" vbProcedure="false">1</definedName>
    <definedName function="false" hidden="false" localSheetId="0" name="solver_sho" vbProcedure="false">2</definedName>
    <definedName function="false" hidden="false" localSheetId="0" name="solver_ssz" vbProcedure="false">100</definedName>
    <definedName function="false" hidden="false" localSheetId="0" name="solver_tim" vbProcedure="false">2147483647</definedName>
    <definedName function="false" hidden="false" localSheetId="0" name="solver_tol" vbProcedure="false">0.01</definedName>
    <definedName function="false" hidden="false" localSheetId="0" name="solver_typ" vbProcedure="false">2</definedName>
    <definedName function="false" hidden="false" localSheetId="0" name="solver_val" vbProcedure="false">0</definedName>
    <definedName function="false" hidden="false" localSheetId="0" name="solver_ver" vbProcedure="false">3</definedName>
    <definedName function="false" hidden="false" localSheetId="1" name="solver_adj" vbProcedure="false">BA_prod!$N$14</definedName>
    <definedName function="false" hidden="false" localSheetId="1" name="solver_cvg" vbProcedure="false">0.0001</definedName>
    <definedName function="false" hidden="false" localSheetId="1" name="solver_drv" vbProcedure="false">1</definedName>
    <definedName function="false" hidden="false" localSheetId="1" name="solver_eng" vbProcedure="false">1</definedName>
    <definedName function="false" hidden="false" localSheetId="1" name="solver_est" vbProcedure="false">1</definedName>
    <definedName function="false" hidden="false" localSheetId="1" name="solver_itr" vbProcedure="false">2147483647</definedName>
    <definedName function="false" hidden="false" localSheetId="1" name="solver_mip" vbProcedure="false">2147483647</definedName>
    <definedName function="false" hidden="false" localSheetId="1" name="solver_mni" vbProcedure="false">30</definedName>
    <definedName function="false" hidden="false" localSheetId="1" name="solver_mrt" vbProcedure="false">0.075</definedName>
    <definedName function="false" hidden="false" localSheetId="1" name="solver_msl" vbProcedure="false">2</definedName>
    <definedName function="false" hidden="false" localSheetId="1" name="solver_neg" vbProcedure="false">1</definedName>
    <definedName function="false" hidden="false" localSheetId="1" name="solver_nod" vbProcedure="false">2147483647</definedName>
    <definedName function="false" hidden="false" localSheetId="1" name="solver_num" vbProcedure="false">0</definedName>
    <definedName function="false" hidden="false" localSheetId="1" name="solver_nwt" vbProcedure="false">1</definedName>
    <definedName function="false" hidden="false" localSheetId="1" name="solver_opt" vbProcedure="false">BA_prod!$O$11</definedName>
    <definedName function="false" hidden="false" localSheetId="1" name="solver_pre" vbProcedure="false">0.000001</definedName>
    <definedName function="false" hidden="false" localSheetId="1" name="solver_rbv" vbProcedure="false">1</definedName>
    <definedName function="false" hidden="false" localSheetId="1" name="solver_rlx" vbProcedure="false">2</definedName>
    <definedName function="false" hidden="false" localSheetId="1" name="solver_rsd" vbProcedure="false">0</definedName>
    <definedName function="false" hidden="false" localSheetId="1" name="solver_scl" vbProcedure="false">1</definedName>
    <definedName function="false" hidden="false" localSheetId="1" name="solver_sho" vbProcedure="false">2</definedName>
    <definedName function="false" hidden="false" localSheetId="1" name="solver_ssz" vbProcedure="false">100</definedName>
    <definedName function="false" hidden="false" localSheetId="1" name="solver_tim" vbProcedure="false">2147483647</definedName>
    <definedName function="false" hidden="false" localSheetId="1" name="solver_tol" vbProcedure="false">0.01</definedName>
    <definedName function="false" hidden="false" localSheetId="1" name="solver_typ" vbProcedure="false">2</definedName>
    <definedName function="false" hidden="false" localSheetId="1" name="solver_val" vbProcedure="false">0</definedName>
    <definedName function="false" hidden="false" localSheetId="1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<sst xmlns="http://schemas.openxmlformats.org/spreadsheetml/2006/main" count="150" uniqueCount="62">
  <si>
    <t xml:space="preserve">Curve fitting using the Excel solver add-in </t>
  </si>
  <si>
    <t xml:space="preserve">LOGISTIC WITH DELAY</t>
  </si>
  <si>
    <t xml:space="preserve">Datapoints</t>
  </si>
  <si>
    <t xml:space="preserve">WITH LAG</t>
  </si>
  <si>
    <t xml:space="preserve">LOGISTIC WITHOUT DELAY</t>
  </si>
  <si>
    <t xml:space="preserve">WITHOUT LAG</t>
  </si>
  <si>
    <r>
      <rPr>
        <b val="true"/>
        <sz val="11"/>
        <color rgb="FFFF0000"/>
        <rFont val="Arial"/>
        <family val="2"/>
        <charset val="1"/>
      </rPr>
      <t xml:space="preserve">t &lt; t</t>
    </r>
    <r>
      <rPr>
        <b val="true"/>
        <vertAlign val="subscript"/>
        <sz val="11"/>
        <color rgb="FFFF0000"/>
        <rFont val="Arial"/>
        <family val="2"/>
        <charset val="1"/>
      </rPr>
      <t xml:space="preserve">lag</t>
    </r>
  </si>
  <si>
    <r>
      <rPr>
        <b val="true"/>
        <sz val="11"/>
        <color rgb="FFFF0000"/>
        <rFont val="Arial"/>
        <family val="2"/>
        <charset val="1"/>
      </rPr>
      <t xml:space="preserve">N</t>
    </r>
    <r>
      <rPr>
        <b val="true"/>
        <vertAlign val="subscript"/>
        <sz val="11"/>
        <color rgb="FFFF0000"/>
        <rFont val="Arial"/>
        <family val="2"/>
        <charset val="1"/>
      </rPr>
      <t xml:space="preserve">t </t>
    </r>
    <r>
      <rPr>
        <b val="true"/>
        <sz val="11"/>
        <color rgb="FFFF0000"/>
        <rFont val="Arial"/>
        <family val="2"/>
        <charset val="1"/>
      </rPr>
      <t xml:space="preserve">= N</t>
    </r>
    <r>
      <rPr>
        <b val="true"/>
        <vertAlign val="subscript"/>
        <sz val="11"/>
        <color rgb="FFFF0000"/>
        <rFont val="Arial"/>
        <family val="2"/>
        <charset val="1"/>
      </rPr>
      <t xml:space="preserve">0</t>
    </r>
  </si>
  <si>
    <r>
      <rPr>
        <b val="true"/>
        <sz val="11"/>
        <color rgb="FFFF0000"/>
        <rFont val="Arial"/>
        <family val="2"/>
        <charset val="1"/>
      </rPr>
      <t xml:space="preserve">N</t>
    </r>
    <r>
      <rPr>
        <b val="true"/>
        <vertAlign val="subscript"/>
        <sz val="11"/>
        <color rgb="FFFF0000"/>
        <rFont val="Arial"/>
        <family val="2"/>
        <charset val="1"/>
      </rPr>
      <t xml:space="preserve">t </t>
    </r>
    <r>
      <rPr>
        <b val="true"/>
        <sz val="11"/>
        <color rgb="FFFF0000"/>
        <rFont val="Arial"/>
        <family val="2"/>
        <charset val="1"/>
      </rPr>
      <t xml:space="preserve">= Nmax / [1+((N</t>
    </r>
    <r>
      <rPr>
        <b val="true"/>
        <vertAlign val="subscript"/>
        <sz val="11"/>
        <color rgb="FFFF0000"/>
        <rFont val="Arial"/>
        <family val="2"/>
        <charset val="1"/>
      </rPr>
      <t xml:space="preserve">max/</t>
    </r>
    <r>
      <rPr>
        <b val="true"/>
        <sz val="11"/>
        <color rgb="FFFF0000"/>
        <rFont val="Arial"/>
        <family val="2"/>
        <charset val="1"/>
      </rPr>
      <t xml:space="preserve">N</t>
    </r>
    <r>
      <rPr>
        <b val="true"/>
        <vertAlign val="subscript"/>
        <sz val="11"/>
        <color rgb="FFFF0000"/>
        <rFont val="Arial"/>
        <family val="2"/>
        <charset val="1"/>
      </rPr>
      <t xml:space="preserve">0</t>
    </r>
    <r>
      <rPr>
        <b val="true"/>
        <sz val="11"/>
        <color rgb="FFFF0000"/>
        <rFont val="Arial"/>
        <family val="2"/>
        <charset val="1"/>
      </rPr>
      <t xml:space="preserve">)-1)*exp(-µ*t)]</t>
    </r>
  </si>
  <si>
    <r>
      <rPr>
        <b val="true"/>
        <sz val="11"/>
        <color rgb="FFFF0000"/>
        <rFont val="Arial"/>
        <family val="2"/>
        <charset val="1"/>
      </rPr>
      <t xml:space="preserve">t ≥ t</t>
    </r>
    <r>
      <rPr>
        <b val="true"/>
        <vertAlign val="subscript"/>
        <sz val="11"/>
        <color rgb="FFFF0000"/>
        <rFont val="Arial"/>
        <family val="2"/>
        <charset val="1"/>
      </rPr>
      <t xml:space="preserve">lag</t>
    </r>
  </si>
  <si>
    <r>
      <rPr>
        <b val="true"/>
        <sz val="11"/>
        <color rgb="FFFF0000"/>
        <rFont val="Arial"/>
        <family val="2"/>
        <charset val="1"/>
      </rPr>
      <t xml:space="preserve">N</t>
    </r>
    <r>
      <rPr>
        <b val="true"/>
        <vertAlign val="subscript"/>
        <sz val="11"/>
        <color rgb="FFFF0000"/>
        <rFont val="Arial"/>
        <family val="2"/>
        <charset val="1"/>
      </rPr>
      <t xml:space="preserve">t </t>
    </r>
    <r>
      <rPr>
        <b val="true"/>
        <sz val="11"/>
        <color rgb="FFFF0000"/>
        <rFont val="Arial"/>
        <family val="2"/>
        <charset val="1"/>
      </rPr>
      <t xml:space="preserve">= Nmax / [1+((N</t>
    </r>
    <r>
      <rPr>
        <b val="true"/>
        <vertAlign val="subscript"/>
        <sz val="11"/>
        <color rgb="FFFF0000"/>
        <rFont val="Arial"/>
        <family val="2"/>
        <charset val="1"/>
      </rPr>
      <t xml:space="preserve">max/</t>
    </r>
    <r>
      <rPr>
        <b val="true"/>
        <sz val="11"/>
        <color rgb="FFFF0000"/>
        <rFont val="Arial"/>
        <family val="2"/>
        <charset val="1"/>
      </rPr>
      <t xml:space="preserve">N</t>
    </r>
    <r>
      <rPr>
        <b val="true"/>
        <vertAlign val="subscript"/>
        <sz val="11"/>
        <color rgb="FFFF0000"/>
        <rFont val="Arial"/>
        <family val="2"/>
        <charset val="1"/>
      </rPr>
      <t xml:space="preserve">0</t>
    </r>
    <r>
      <rPr>
        <b val="true"/>
        <sz val="11"/>
        <color rgb="FFFF0000"/>
        <rFont val="Arial"/>
        <family val="2"/>
        <charset val="1"/>
      </rPr>
      <t xml:space="preserve">)-1)*exp(-µ*(t-t</t>
    </r>
    <r>
      <rPr>
        <b val="true"/>
        <vertAlign val="subscript"/>
        <sz val="11"/>
        <color rgb="FFFF0000"/>
        <rFont val="Arial"/>
        <family val="2"/>
        <charset val="1"/>
      </rPr>
      <t xml:space="preserve">lag</t>
    </r>
    <r>
      <rPr>
        <b val="true"/>
        <sz val="11"/>
        <color rgb="FFFF0000"/>
        <rFont val="Arial"/>
        <family val="2"/>
        <charset val="1"/>
      </rPr>
      <t xml:space="preserve">))]</t>
    </r>
  </si>
  <si>
    <t xml:space="preserve">Parameters in model</t>
  </si>
  <si>
    <t xml:space="preserve">Model parameter values</t>
  </si>
  <si>
    <t xml:space="preserve">Mean Sum of Squared Error</t>
  </si>
  <si>
    <t xml:space="preserve">Lag time (d)</t>
  </si>
  <si>
    <t xml:space="preserve">RSS (Residual sum of squares)</t>
  </si>
  <si>
    <t xml:space="preserve">Lag time (h)</t>
  </si>
  <si>
    <r>
      <rPr>
        <b val="true"/>
        <sz val="11"/>
        <rFont val="Arial"/>
        <family val="2"/>
        <charset val="1"/>
      </rPr>
      <t xml:space="preserve">Log(N</t>
    </r>
    <r>
      <rPr>
        <b val="true"/>
        <vertAlign val="subscript"/>
        <sz val="11"/>
        <rFont val="Arial"/>
        <family val="2"/>
        <charset val="1"/>
      </rPr>
      <t xml:space="preserve">0, </t>
    </r>
    <r>
      <rPr>
        <b val="true"/>
        <sz val="11"/>
        <rFont val="Arial"/>
        <family val="2"/>
        <charset val="1"/>
      </rPr>
      <t xml:space="preserve">cfu/g) </t>
    </r>
  </si>
  <si>
    <r>
      <rPr>
        <b val="true"/>
        <sz val="11"/>
        <rFont val="Arial"/>
        <family val="2"/>
        <charset val="1"/>
      </rPr>
      <t xml:space="preserve">µ</t>
    </r>
    <r>
      <rPr>
        <b val="true"/>
        <vertAlign val="subscript"/>
        <sz val="11"/>
        <rFont val="Arial"/>
        <family val="2"/>
        <charset val="1"/>
      </rPr>
      <t xml:space="preserve">max </t>
    </r>
    <r>
      <rPr>
        <b val="true"/>
        <sz val="11"/>
        <rFont val="Arial"/>
        <family val="2"/>
        <charset val="1"/>
      </rPr>
      <t xml:space="preserve">(1/d)</t>
    </r>
  </si>
  <si>
    <t xml:space="preserve">RMSE (Root mean square erroor) </t>
  </si>
  <si>
    <t xml:space="preserve">R-squared</t>
  </si>
  <si>
    <t xml:space="preserve">SSTO</t>
  </si>
  <si>
    <r>
      <rPr>
        <b val="true"/>
        <sz val="11"/>
        <rFont val="Arial"/>
        <family val="2"/>
        <charset val="1"/>
      </rPr>
      <t xml:space="preserve">µ</t>
    </r>
    <r>
      <rPr>
        <b val="true"/>
        <vertAlign val="subscript"/>
        <sz val="11"/>
        <rFont val="Arial"/>
        <family val="2"/>
        <charset val="1"/>
      </rPr>
      <t xml:space="preserve">max </t>
    </r>
    <r>
      <rPr>
        <b val="true"/>
        <sz val="11"/>
        <rFont val="Arial"/>
        <family val="2"/>
        <charset val="1"/>
      </rPr>
      <t xml:space="preserve">(1/h)</t>
    </r>
  </si>
  <si>
    <r>
      <rPr>
        <b val="true"/>
        <sz val="11"/>
        <rFont val="Arial"/>
        <family val="2"/>
        <charset val="1"/>
      </rPr>
      <t xml:space="preserve">Log(N</t>
    </r>
    <r>
      <rPr>
        <b val="true"/>
        <vertAlign val="subscript"/>
        <sz val="11"/>
        <rFont val="Arial"/>
        <family val="2"/>
        <charset val="1"/>
      </rPr>
      <t xml:space="preserve">max</t>
    </r>
    <r>
      <rPr>
        <b val="true"/>
        <sz val="11"/>
        <rFont val="Arial"/>
        <family val="2"/>
        <charset val="1"/>
      </rPr>
      <t xml:space="preserve">, cfu/g) </t>
    </r>
  </si>
  <si>
    <t xml:space="preserve">yield</t>
  </si>
  <si>
    <t xml:space="preserve">R-squared adjusted</t>
  </si>
  <si>
    <t xml:space="preserve">R-squared adjusted (anna)</t>
  </si>
  <si>
    <t xml:space="preserve">Growth curve data</t>
  </si>
  <si>
    <t xml:space="preserve">Growth model and residuals</t>
  </si>
  <si>
    <t xml:space="preserve">Growth curve data and fitted model</t>
  </si>
  <si>
    <t xml:space="preserve">Yield (Yp)</t>
  </si>
  <si>
    <t xml:space="preserve">LA (g/L)</t>
  </si>
  <si>
    <t xml:space="preserve">Time, d(1)</t>
  </si>
  <si>
    <t xml:space="preserve">Log cfu/g</t>
  </si>
  <si>
    <t xml:space="preserve">SSTO-aid</t>
  </si>
  <si>
    <r>
      <rPr>
        <b val="true"/>
        <sz val="10"/>
        <rFont val="Arial"/>
        <family val="2"/>
        <charset val="1"/>
      </rPr>
      <t xml:space="preserve">(Residual)</t>
    </r>
    <r>
      <rPr>
        <b val="true"/>
        <vertAlign val="superscript"/>
        <sz val="10"/>
        <rFont val="Arial"/>
        <family val="2"/>
        <charset val="1"/>
      </rPr>
      <t xml:space="preserve">2</t>
    </r>
  </si>
  <si>
    <t xml:space="preserve">Time, h (1)</t>
  </si>
  <si>
    <t xml:space="preserve">F-test</t>
  </si>
  <si>
    <t xml:space="preserve">F</t>
  </si>
  <si>
    <t xml:space="preserve">without lag </t>
  </si>
  <si>
    <t xml:space="preserve">RRS-NH</t>
  </si>
  <si>
    <t xml:space="preserve">F0.05 tabulated</t>
  </si>
  <si>
    <t xml:space="preserve">df-NH</t>
  </si>
  <si>
    <t xml:space="preserve">F0.01 tabulated</t>
  </si>
  <si>
    <t xml:space="preserve">with lag</t>
  </si>
  <si>
    <t xml:space="preserve">RRS-AH</t>
  </si>
  <si>
    <t xml:space="preserve">Lag significantly different</t>
  </si>
  <si>
    <t xml:space="preserve">df-AH</t>
  </si>
  <si>
    <t xml:space="preserve">t &lt; T0</t>
  </si>
  <si>
    <r>
      <rPr>
        <b val="true"/>
        <sz val="11"/>
        <color rgb="FFFF0000"/>
        <rFont val="Arial"/>
        <family val="2"/>
        <charset val="1"/>
      </rPr>
      <t xml:space="preserve">P</t>
    </r>
    <r>
      <rPr>
        <b val="true"/>
        <vertAlign val="subscript"/>
        <sz val="11"/>
        <color rgb="FFFF0000"/>
        <rFont val="Arial"/>
        <family val="2"/>
        <charset val="1"/>
      </rPr>
      <t xml:space="preserve">t </t>
    </r>
    <r>
      <rPr>
        <b val="true"/>
        <sz val="11"/>
        <color rgb="FFFF0000"/>
        <rFont val="Arial"/>
        <family val="2"/>
        <charset val="1"/>
      </rPr>
      <t xml:space="preserve">= P</t>
    </r>
    <r>
      <rPr>
        <b val="true"/>
        <vertAlign val="subscript"/>
        <sz val="11"/>
        <color rgb="FFFF0000"/>
        <rFont val="Arial"/>
        <family val="2"/>
        <charset val="1"/>
      </rPr>
      <t xml:space="preserve">0</t>
    </r>
  </si>
  <si>
    <t xml:space="preserve">t ≥ T0</t>
  </si>
  <si>
    <r>
      <rPr>
        <b val="true"/>
        <sz val="11"/>
        <color rgb="FFFF0000"/>
        <rFont val="Arial"/>
        <family val="2"/>
        <charset val="1"/>
      </rPr>
      <t xml:space="preserve">P</t>
    </r>
    <r>
      <rPr>
        <b val="true"/>
        <vertAlign val="subscript"/>
        <sz val="11"/>
        <color rgb="FFFF0000"/>
        <rFont val="Arial"/>
        <family val="2"/>
        <charset val="1"/>
      </rPr>
      <t xml:space="preserve">t </t>
    </r>
    <r>
      <rPr>
        <b val="true"/>
        <sz val="11"/>
        <color rgb="FFFF0000"/>
        <rFont val="Arial"/>
        <family val="2"/>
        <charset val="1"/>
      </rPr>
      <t xml:space="preserve">= Y</t>
    </r>
    <r>
      <rPr>
        <b val="true"/>
        <vertAlign val="subscript"/>
        <sz val="11"/>
        <color rgb="FFFF0000"/>
        <rFont val="Arial"/>
        <family val="2"/>
        <charset val="1"/>
      </rPr>
      <t xml:space="preserve">p</t>
    </r>
    <r>
      <rPr>
        <b val="true"/>
        <sz val="11"/>
        <color rgb="FFFF0000"/>
        <rFont val="Arial"/>
        <family val="2"/>
        <charset val="1"/>
      </rPr>
      <t xml:space="preserve">*[Nmax / [1+((N</t>
    </r>
    <r>
      <rPr>
        <b val="true"/>
        <vertAlign val="subscript"/>
        <sz val="11"/>
        <color rgb="FFFF0000"/>
        <rFont val="Arial"/>
        <family val="2"/>
        <charset val="1"/>
      </rPr>
      <t xml:space="preserve">max/</t>
    </r>
    <r>
      <rPr>
        <b val="true"/>
        <sz val="11"/>
        <color rgb="FFFF0000"/>
        <rFont val="Arial"/>
        <family val="2"/>
        <charset val="1"/>
      </rPr>
      <t xml:space="preserve">N</t>
    </r>
    <r>
      <rPr>
        <b val="true"/>
        <vertAlign val="subscript"/>
        <sz val="11"/>
        <color rgb="FFFF0000"/>
        <rFont val="Arial"/>
        <family val="2"/>
        <charset val="1"/>
      </rPr>
      <t xml:space="preserve">0</t>
    </r>
    <r>
      <rPr>
        <b val="true"/>
        <sz val="11"/>
        <color rgb="FFFF0000"/>
        <rFont val="Arial"/>
        <family val="2"/>
        <charset val="1"/>
      </rPr>
      <t xml:space="preserve">)-1)*exp(-µ*(t-T</t>
    </r>
    <r>
      <rPr>
        <b val="true"/>
        <vertAlign val="subscript"/>
        <sz val="11"/>
        <color rgb="FFFF0000"/>
        <rFont val="Arial"/>
        <family val="2"/>
        <charset val="1"/>
      </rPr>
      <t xml:space="preserve">d</t>
    </r>
    <r>
      <rPr>
        <b val="true"/>
        <sz val="11"/>
        <color rgb="FFFF0000"/>
        <rFont val="Arial"/>
        <family val="2"/>
        <charset val="1"/>
      </rPr>
      <t xml:space="preserve">)]]-N0]</t>
    </r>
  </si>
  <si>
    <t xml:space="preserve">Yp (mg/log cfu*h)</t>
  </si>
  <si>
    <t xml:space="preserve">Td</t>
  </si>
  <si>
    <r>
      <rPr>
        <sz val="11"/>
        <color rgb="FF000000"/>
        <rFont val="Calibri"/>
        <family val="2"/>
        <charset val="1"/>
      </rPr>
      <t xml:space="preserve">P</t>
    </r>
    <r>
      <rPr>
        <vertAlign val="subscript"/>
        <sz val="11"/>
        <color rgb="FF000000"/>
        <rFont val="Calibri"/>
        <family val="2"/>
        <charset val="1"/>
      </rPr>
      <t xml:space="preserve">0</t>
    </r>
  </si>
  <si>
    <t xml:space="preserve">Growth model</t>
  </si>
  <si>
    <t xml:space="preserve">Bacteriocin data</t>
  </si>
  <si>
    <t xml:space="preserve">Bacteriocin model and residuals</t>
  </si>
  <si>
    <t xml:space="preserve">LA pred</t>
  </si>
  <si>
    <t xml:space="preserve">Log cfu/mL</t>
  </si>
  <si>
    <t xml:space="preserve">BA (10^3 AU/mL)</t>
  </si>
  <si>
    <t xml:space="preserve">BA pred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</si>
</sst>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0.0000"/>
    <numFmt numFmtId="168" formatCode="General"/>
  </numFmts>
  <fonts count="3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name val="Arial"/>
      <family val="2"/>
      <charset val="1"/>
    </font>
    <font>
      <b val="true"/>
      <sz val="12"/>
      <name val="Arial"/>
      <family val="2"/>
      <charset val="1"/>
    </font>
    <font>
      <sz val="1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b val="true"/>
      <vertAlign val="subscript"/>
      <sz val="11"/>
      <color rgb="FFFF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vertAlign val="subscript"/>
      <sz val="11"/>
      <name val="Arial"/>
      <family val="2"/>
      <charset val="1"/>
    </font>
    <font>
      <b val="true"/>
      <sz val="11"/>
      <color rgb="FF0000FF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sz val="10"/>
      <color rgb="FFFF0000"/>
      <name val="Arial"/>
      <family val="2"/>
      <charset val="1"/>
    </font>
    <font>
      <b val="true"/>
      <vertAlign val="superscript"/>
      <sz val="10"/>
      <name val="Arial"/>
      <family val="2"/>
      <charset val="1"/>
    </font>
    <font>
      <b val="true"/>
      <sz val="9"/>
      <name val="Calibri"/>
      <family val="2"/>
      <charset val="1"/>
    </font>
    <font>
      <sz val="9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b val="true"/>
      <sz val="16"/>
      <name val="Arial"/>
      <family val="2"/>
      <charset val="1"/>
    </font>
    <font>
      <sz val="12"/>
      <name val="Arial"/>
      <family val="2"/>
      <charset val="1"/>
    </font>
    <font>
      <b val="true"/>
      <sz val="20"/>
      <color rgb="FFFF0000"/>
      <name val="Arial"/>
      <family val="2"/>
      <charset val="1"/>
    </font>
    <font>
      <b val="true"/>
      <sz val="18"/>
      <color rgb="FF000000"/>
      <name val="Calibri"/>
      <family val="2"/>
    </font>
    <font>
      <sz val="9"/>
      <color rgb="FF333333"/>
      <name val="Calibri"/>
      <family val="2"/>
    </font>
    <font>
      <b val="true"/>
      <sz val="10"/>
      <color rgb="FF000000"/>
      <name val="Calibri"/>
      <family val="2"/>
    </font>
    <font>
      <sz val="9"/>
      <color rgb="FF595959"/>
      <name val="Calibri"/>
      <family val="2"/>
    </font>
    <font>
      <sz val="10"/>
      <color rgb="FF000000"/>
      <name val="Calibri"/>
      <family val="2"/>
    </font>
    <font>
      <vertAlign val="subscript"/>
      <sz val="11"/>
      <color rgb="FF000000"/>
      <name val="Calibri"/>
      <family val="2"/>
      <charset val="1"/>
    </font>
    <font>
      <sz val="11"/>
      <name val="Calibri"/>
      <family val="0"/>
    </font>
    <font>
      <b val="true"/>
      <vertAlign val="subscript"/>
      <sz val="10"/>
      <color rgb="FF000000"/>
      <name val="Calibri"/>
      <family val="2"/>
    </font>
    <font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FFD9D9D9"/>
        <bgColor rgb="FFF2F2F2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2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2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5A5A5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41645590963"/>
          <c:y val="0.22293710792987"/>
          <c:w val="0.602849435171135"/>
          <c:h val="0.541096992118385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GR_log!$C$21:$C$32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GR_log!$D$21:$D$32</c:f>
              <c:numCache>
                <c:formatCode>General</c:formatCode>
                <c:ptCount val="12"/>
                <c:pt idx="0">
                  <c:v>5.12710479836481</c:v>
                </c:pt>
                <c:pt idx="1">
                  <c:v>5.62940959910272</c:v>
                </c:pt>
                <c:pt idx="2">
                  <c:v>5.95424250943933</c:v>
                </c:pt>
                <c:pt idx="3">
                  <c:v>6.52374646681157</c:v>
                </c:pt>
                <c:pt idx="4">
                  <c:v>6.88081359228079</c:v>
                </c:pt>
                <c:pt idx="5">
                  <c:v>8.11394335230684</c:v>
                </c:pt>
                <c:pt idx="6">
                  <c:v>7.57978359661681</c:v>
                </c:pt>
                <c:pt idx="7">
                  <c:v>8.09342168516224</c:v>
                </c:pt>
                <c:pt idx="8">
                  <c:v>8.09342168516224</c:v>
                </c:pt>
                <c:pt idx="9">
                  <c:v>8.10037054511756</c:v>
                </c:pt>
                <c:pt idx="10">
                  <c:v>8.17026171539496</c:v>
                </c:pt>
                <c:pt idx="11">
                  <c:v>8.2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"25ºC predicted values"</c:f>
              <c:strCache>
                <c:ptCount val="1"/>
                <c:pt idx="0">
                  <c:v>25ºC predicted values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GR_log!$C$21:$C$36</c:f>
              <c:numCache>
                <c:formatCode>General</c:formatCode>
                <c:ptCount val="16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GR_log!$F$21:$F$36</c:f>
              <c:numCache>
                <c:formatCode>General</c:formatCode>
                <c:ptCount val="16"/>
                <c:pt idx="0">
                  <c:v>5.20027140890088</c:v>
                </c:pt>
                <c:pt idx="1">
                  <c:v>5.55533924725384</c:v>
                </c:pt>
                <c:pt idx="2">
                  <c:v>5.98792141344128</c:v>
                </c:pt>
                <c:pt idx="3">
                  <c:v>6.45519319125769</c:v>
                </c:pt>
                <c:pt idx="4">
                  <c:v>6.90896041887477</c:v>
                </c:pt>
                <c:pt idx="5">
                  <c:v>8.00576856091372</c:v>
                </c:pt>
                <c:pt idx="6">
                  <c:v>8.04261812058601</c:v>
                </c:pt>
                <c:pt idx="7">
                  <c:v>8.05630386861232</c:v>
                </c:pt>
                <c:pt idx="8">
                  <c:v>8.06170323478475</c:v>
                </c:pt>
                <c:pt idx="9">
                  <c:v>8.06347157820443</c:v>
                </c:pt>
                <c:pt idx="10">
                  <c:v>8.06444413088548</c:v>
                </c:pt>
                <c:pt idx="11">
                  <c:v>8.0644525765368</c:v>
                </c:pt>
              </c:numCache>
            </c:numRef>
          </c:yVal>
          <c:smooth val="0"/>
        </c:ser>
        <c:axId val="591051"/>
        <c:axId val="97542045"/>
      </c:scatterChart>
      <c:valAx>
        <c:axId val="5910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97542045"/>
        <c:crosses val="autoZero"/>
        <c:crossBetween val="midCat"/>
      </c:valAx>
      <c:valAx>
        <c:axId val="9754204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91051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7159796201945"/>
          <c:y val="0.257352950403112"/>
          <c:w val="0.20401667438629"/>
          <c:h val="0.48516150620614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without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55391619594"/>
          <c:y val="0.215149196633512"/>
          <c:w val="0.612258662844617"/>
          <c:h val="0.55700076511094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GR_log!$N$21:$N$41</c:f>
              <c:numCache>
                <c:formatCode>General</c:formatCode>
                <c:ptCount val="21"/>
                <c:pt idx="0">
                  <c:v>1</c:v>
                </c:pt>
                <c:pt idx="1">
                  <c:v>3.00000000005821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12.1666666667443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24.1666666667443</c:v>
                </c:pt>
                <c:pt idx="9">
                  <c:v>27.0833333333139</c:v>
                </c:pt>
                <c:pt idx="10">
                  <c:v>30.0833333333139</c:v>
                </c:pt>
                <c:pt idx="11">
                  <c:v>33.0833333333139</c:v>
                </c:pt>
                <c:pt idx="12">
                  <c:v>35.8333333333721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</c:v>
                </c:pt>
              </c:numCache>
            </c:numRef>
          </c:xVal>
          <c:yVal>
            <c:numRef>
              <c:f>GR_log!$O$21:$O$41</c:f>
              <c:numCache>
                <c:formatCode>General</c:formatCode>
                <c:ptCount val="21"/>
                <c:pt idx="0">
                  <c:v>5.15836249209525</c:v>
                </c:pt>
                <c:pt idx="1">
                  <c:v>5.44715803134222</c:v>
                </c:pt>
                <c:pt idx="2">
                  <c:v>6.06445798922692</c:v>
                </c:pt>
                <c:pt idx="3">
                  <c:v>6.47129171105894</c:v>
                </c:pt>
                <c:pt idx="4">
                  <c:v>6.86923171973098</c:v>
                </c:pt>
                <c:pt idx="5">
                  <c:v>7.77085201164214</c:v>
                </c:pt>
                <c:pt idx="6">
                  <c:v>7.37657695705651</c:v>
                </c:pt>
                <c:pt idx="7">
                  <c:v>8.27875360095283</c:v>
                </c:pt>
                <c:pt idx="8">
                  <c:v>8.22530928172586</c:v>
                </c:pt>
                <c:pt idx="9">
                  <c:v>8.3096301674259</c:v>
                </c:pt>
                <c:pt idx="10">
                  <c:v>8.28330122870355</c:v>
                </c:pt>
                <c:pt idx="11">
                  <c:v>8.36172783601759</c:v>
                </c:pt>
                <c:pt idx="12">
                  <c:v>8.41161970596323</c:v>
                </c:pt>
                <c:pt idx="13">
                  <c:v>8.3654879848909</c:v>
                </c:pt>
                <c:pt idx="14">
                  <c:v>8.26007138798508</c:v>
                </c:pt>
                <c:pt idx="15">
                  <c:v>8.2148438480477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GR_log!$N$21:$N$41</c:f>
              <c:numCache>
                <c:formatCode>General</c:formatCode>
                <c:ptCount val="21"/>
                <c:pt idx="0">
                  <c:v>1</c:v>
                </c:pt>
                <c:pt idx="1">
                  <c:v>3.00000000005821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12.1666666667443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24.1666666667443</c:v>
                </c:pt>
                <c:pt idx="9">
                  <c:v>27.0833333333139</c:v>
                </c:pt>
                <c:pt idx="10">
                  <c:v>30.0833333333139</c:v>
                </c:pt>
                <c:pt idx="11">
                  <c:v>33.0833333333139</c:v>
                </c:pt>
                <c:pt idx="12">
                  <c:v>35.8333333333721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</c:v>
                </c:pt>
              </c:numCache>
            </c:numRef>
          </c:xVal>
          <c:yVal>
            <c:numRef>
              <c:f>GR_log!$Q$21:$Q$41</c:f>
              <c:numCache>
                <c:formatCode>General</c:formatCode>
                <c:ptCount val="21"/>
                <c:pt idx="0">
                  <c:v>5.16865080497505</c:v>
                </c:pt>
                <c:pt idx="1">
                  <c:v>5.49687002499575</c:v>
                </c:pt>
                <c:pt idx="2">
                  <c:v>5.98835017242875</c:v>
                </c:pt>
                <c:pt idx="3">
                  <c:v>6.47697809008954</c:v>
                </c:pt>
                <c:pt idx="4">
                  <c:v>6.98312906827592</c:v>
                </c:pt>
                <c:pt idx="5">
                  <c:v>7.41207803969167</c:v>
                </c:pt>
                <c:pt idx="6">
                  <c:v>7.80495729827029</c:v>
                </c:pt>
                <c:pt idx="7">
                  <c:v>8.08307315135922</c:v>
                </c:pt>
                <c:pt idx="8">
                  <c:v>8.23598603798988</c:v>
                </c:pt>
                <c:pt idx="9">
                  <c:v>8.29245524772835</c:v>
                </c:pt>
                <c:pt idx="10">
                  <c:v>8.3132617861104</c:v>
                </c:pt>
                <c:pt idx="11">
                  <c:v>8.32016813988585</c:v>
                </c:pt>
                <c:pt idx="12">
                  <c:v>8.32230623376228</c:v>
                </c:pt>
                <c:pt idx="13">
                  <c:v>8.32336515662601</c:v>
                </c:pt>
                <c:pt idx="14">
                  <c:v>8.32346839051018</c:v>
                </c:pt>
                <c:pt idx="15">
                  <c:v>8.32347792628642</c:v>
                </c:pt>
              </c:numCache>
            </c:numRef>
          </c:yVal>
          <c:smooth val="0"/>
        </c:ser>
        <c:axId val="69664417"/>
        <c:axId val="80997397"/>
      </c:scatterChart>
      <c:valAx>
        <c:axId val="696644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80997397"/>
        <c:crosses val="autoZero"/>
        <c:crossBetween val="midCat"/>
      </c:valAx>
      <c:valAx>
        <c:axId val="8099739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9664417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7159796201945"/>
          <c:y val="0.209341813042601"/>
          <c:w val="0.20401667438629"/>
          <c:h val="0.64272642842721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797752808989"/>
          <c:y val="0.222853087295955"/>
          <c:w val="0.602247191011236"/>
          <c:h val="0.54098651525904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categories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xVal>
          <c:smooth val="0"/>
        </c:ser>
        <c:ser>
          <c:idx val="1"/>
          <c:order val="1"/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xVal>
            <c:strRef>
              <c:f>categories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xVal>
          <c:smooth val="0"/>
        </c:ser>
        <c:axId val="29433985"/>
        <c:axId val="9108392"/>
      </c:scatterChart>
      <c:scatterChart>
        <c:scatterStyle val="lineMarker"/>
        <c:varyColors val="0"/>
        <c:ser>
          <c:idx val="2"/>
          <c:order val="2"/>
          <c:tx>
            <c:strRef>
              <c:f>label 0</c:f>
              <c:strCache>
                <c:ptCount val="1"/>
                <c:pt idx="0">
                  <c:v>LA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categories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xVal>
          <c:yVal>
            <c:numRef>
              <c:f>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</c:v>
                </c:pt>
                <c:pt idx="6">
                  <c:v>1.6</c:v>
                </c:pt>
                <c:pt idx="7">
                  <c:v>1.6</c:v>
                </c:pt>
                <c:pt idx="8">
                  <c:v>1.6</c:v>
                </c:pt>
                <c:pt idx="9">
                  <c:v>3.2</c:v>
                </c:pt>
                <c:pt idx="10">
                  <c:v>3.2</c:v>
                </c:pt>
                <c:pt idx="11">
                  <c:v>3.2</c:v>
                </c:pt>
              </c:numCache>
            </c:numRef>
          </c:yVal>
          <c:smooth val="0"/>
        </c:ser>
        <c:axId val="93337090"/>
        <c:axId val="14795192"/>
      </c:scatterChart>
      <c:valAx>
        <c:axId val="294339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9108392"/>
        <c:crosses val="autoZero"/>
        <c:crossBetween val="midCat"/>
      </c:valAx>
      <c:valAx>
        <c:axId val="910839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9433985"/>
        <c:crosses val="autoZero"/>
        <c:crossBetween val="midCat"/>
      </c:valAx>
      <c:valAx>
        <c:axId val="9333709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95192"/>
        <c:crossBetween val="midCat"/>
      </c:valAx>
      <c:valAx>
        <c:axId val="14795192"/>
        <c:scaling>
          <c:orientation val="minMax"/>
        </c:scaling>
        <c:delete val="0"/>
        <c:axPos val="r"/>
        <c:numFmt formatCode="0.00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37090"/>
        <c:crosses val="max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5280898876405"/>
          <c:y val="0.257274662881476"/>
          <c:w val="0.961711711711712"/>
          <c:h val="0.6653061224489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without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41645590963"/>
          <c:y val="0.215260017050298"/>
          <c:w val="0.612291350531108"/>
          <c:h val="0.488348962773515"/>
        </c:manualLayout>
      </c:layout>
      <c:scatterChart>
        <c:scatterStyle val="lineMarker"/>
        <c:varyColors val="0"/>
        <c:ser>
          <c:idx val="0"/>
          <c:order val="0"/>
          <c:tx>
            <c:strRef>
              <c:f>"LAB obtained values"</c:f>
              <c:strCache>
                <c:ptCount val="1"/>
                <c:pt idx="0">
                  <c:v>LAB obtained values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BA_prod!$M$21:$M$36</c:f>
              <c:numCache>
                <c:formatCode>General</c:formatCode>
                <c:ptCount val="16"/>
                <c:pt idx="0">
                  <c:v>1</c:v>
                </c:pt>
                <c:pt idx="1">
                  <c:v>3.00000000005821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12.1666666667443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24.1666666667443</c:v>
                </c:pt>
                <c:pt idx="9">
                  <c:v>27.0833333333139</c:v>
                </c:pt>
                <c:pt idx="10">
                  <c:v>30.0833333333139</c:v>
                </c:pt>
                <c:pt idx="11">
                  <c:v>33.0833333333139</c:v>
                </c:pt>
                <c:pt idx="12">
                  <c:v>35.8333333333721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</c:v>
                </c:pt>
              </c:numCache>
            </c:numRef>
          </c:xVal>
          <c:yVal>
            <c:numRef>
              <c:f>BA_prod!$N$21:$N$36</c:f>
              <c:numCache>
                <c:formatCode>General</c:formatCode>
                <c:ptCount val="16"/>
                <c:pt idx="0">
                  <c:v>5.15836249209525</c:v>
                </c:pt>
                <c:pt idx="1">
                  <c:v>5.44715803134222</c:v>
                </c:pt>
                <c:pt idx="2">
                  <c:v>6.06445798922692</c:v>
                </c:pt>
                <c:pt idx="3">
                  <c:v>6.47129171105894</c:v>
                </c:pt>
                <c:pt idx="4">
                  <c:v>6.86923171973098</c:v>
                </c:pt>
                <c:pt idx="5">
                  <c:v>7.77085201164214</c:v>
                </c:pt>
                <c:pt idx="6">
                  <c:v>7.37657695705651</c:v>
                </c:pt>
                <c:pt idx="7">
                  <c:v>8.27875360095283</c:v>
                </c:pt>
                <c:pt idx="8">
                  <c:v>8.22530928172586</c:v>
                </c:pt>
                <c:pt idx="9">
                  <c:v>8.3096301674259</c:v>
                </c:pt>
                <c:pt idx="10">
                  <c:v>8.28330122870355</c:v>
                </c:pt>
                <c:pt idx="11">
                  <c:v>8.36172783601759</c:v>
                </c:pt>
                <c:pt idx="12">
                  <c:v>8.41161970596323</c:v>
                </c:pt>
                <c:pt idx="13">
                  <c:v>8.3654879848909</c:v>
                </c:pt>
                <c:pt idx="14">
                  <c:v>8.26007138798508</c:v>
                </c:pt>
                <c:pt idx="15">
                  <c:v>8.2148438480477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"LAB predicted values"</c:f>
              <c:strCache>
                <c:ptCount val="1"/>
                <c:pt idx="0">
                  <c:v>LAB predicted values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BA_prod!$M$21:$M$36</c:f>
              <c:numCache>
                <c:formatCode>General</c:formatCode>
                <c:ptCount val="16"/>
                <c:pt idx="0">
                  <c:v>1</c:v>
                </c:pt>
                <c:pt idx="1">
                  <c:v>3.00000000005821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12.1666666667443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24.1666666667443</c:v>
                </c:pt>
                <c:pt idx="9">
                  <c:v>27.0833333333139</c:v>
                </c:pt>
                <c:pt idx="10">
                  <c:v>30.0833333333139</c:v>
                </c:pt>
                <c:pt idx="11">
                  <c:v>33.0833333333139</c:v>
                </c:pt>
                <c:pt idx="12">
                  <c:v>35.8333333333721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</c:v>
                </c:pt>
              </c:numCache>
            </c:numRef>
          </c:xVal>
          <c:yVal>
            <c:numRef>
              <c:f>BA_prod!$P$21:$P$36</c:f>
              <c:numCache>
                <c:formatCode>General</c:formatCode>
                <c:ptCount val="16"/>
                <c:pt idx="0">
                  <c:v>5.16865080497505</c:v>
                </c:pt>
                <c:pt idx="1">
                  <c:v>5.49687002499576</c:v>
                </c:pt>
                <c:pt idx="2">
                  <c:v>5.98835017242875</c:v>
                </c:pt>
                <c:pt idx="3">
                  <c:v>6.47697809008955</c:v>
                </c:pt>
                <c:pt idx="4">
                  <c:v>6.98312906827592</c:v>
                </c:pt>
                <c:pt idx="5">
                  <c:v>7.41207803969168</c:v>
                </c:pt>
                <c:pt idx="6">
                  <c:v>7.80495729827029</c:v>
                </c:pt>
                <c:pt idx="7">
                  <c:v>8.08307315135923</c:v>
                </c:pt>
                <c:pt idx="8">
                  <c:v>8.23598603798988</c:v>
                </c:pt>
                <c:pt idx="9">
                  <c:v>8.29245524772835</c:v>
                </c:pt>
                <c:pt idx="10">
                  <c:v>8.3132617861104</c:v>
                </c:pt>
                <c:pt idx="11">
                  <c:v>8.32016813988585</c:v>
                </c:pt>
                <c:pt idx="12">
                  <c:v>8.32230623376228</c:v>
                </c:pt>
                <c:pt idx="13">
                  <c:v>8.32336515662601</c:v>
                </c:pt>
                <c:pt idx="14">
                  <c:v>8.32346839051018</c:v>
                </c:pt>
                <c:pt idx="15">
                  <c:v>8.32347792628642</c:v>
                </c:pt>
              </c:numCache>
            </c:numRef>
          </c:yVal>
          <c:smooth val="0"/>
        </c:ser>
        <c:axId val="98002224"/>
        <c:axId val="72406492"/>
      </c:scatterChart>
      <c:scatterChart>
        <c:scatterStyle val="lineMarker"/>
        <c:varyColors val="0"/>
        <c:ser>
          <c:idx val="2"/>
          <c:order val="2"/>
          <c:tx>
            <c:strRef>
              <c:f>"Lactic Acid obtained values"</c:f>
              <c:strCache>
                <c:ptCount val="1"/>
                <c:pt idx="0">
                  <c:v>Lactic Acid obtained values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BA_prod!$M$21:$M$32</c:f>
              <c:numCache>
                <c:formatCode>General</c:formatCode>
                <c:ptCount val="12"/>
                <c:pt idx="0">
                  <c:v>1</c:v>
                </c:pt>
                <c:pt idx="1">
                  <c:v>3.00000000005821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12.1666666667443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24.1666666667443</c:v>
                </c:pt>
                <c:pt idx="9">
                  <c:v>27.0833333333139</c:v>
                </c:pt>
                <c:pt idx="10">
                  <c:v>30.0833333333139</c:v>
                </c:pt>
                <c:pt idx="11">
                  <c:v>33.0833333333139</c:v>
                </c:pt>
              </c:numCache>
            </c:numRef>
          </c:xVal>
          <c:yVal>
            <c:numRef>
              <c:f>BA_prod!$Q$21:$Q$32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</c:v>
                </c:pt>
                <c:pt idx="6">
                  <c:v>1.6</c:v>
                </c:pt>
                <c:pt idx="7">
                  <c:v>1.6</c:v>
                </c:pt>
                <c:pt idx="8">
                  <c:v>1.6</c:v>
                </c:pt>
                <c:pt idx="9">
                  <c:v>3.2</c:v>
                </c:pt>
                <c:pt idx="10">
                  <c:v>3.2</c:v>
                </c:pt>
                <c:pt idx="11">
                  <c:v>3.2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a5a5a5">
                <a:alpha val="75000"/>
              </a:srgbClr>
            </a:solidFill>
            <a:ln w="19080">
              <a:solidFill>
                <a:srgbClr val="a5a5a5">
                  <a:alpha val="75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BA_prod!$M$21:$M$31</c:f>
              <c:numCache>
                <c:formatCode>General</c:formatCode>
                <c:ptCount val="11"/>
                <c:pt idx="0">
                  <c:v>1</c:v>
                </c:pt>
                <c:pt idx="1">
                  <c:v>3.00000000005821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12.1666666667443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24.1666666667443</c:v>
                </c:pt>
                <c:pt idx="9">
                  <c:v>27.0833333333139</c:v>
                </c:pt>
                <c:pt idx="10">
                  <c:v>30.0833333333139</c:v>
                </c:pt>
              </c:numCache>
            </c:numRef>
          </c:xVal>
          <c:yVal>
            <c:numRef>
              <c:f>BA_prod!$R$21:$R$31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0.480216020117606</c:v>
                </c:pt>
                <c:pt idx="6">
                  <c:v>0.987794413965873</c:v>
                </c:pt>
                <c:pt idx="7">
                  <c:v>1.49260548691834</c:v>
                </c:pt>
                <c:pt idx="8">
                  <c:v>2.01610967374353</c:v>
                </c:pt>
                <c:pt idx="9">
                  <c:v>2.47362655088724</c:v>
                </c:pt>
                <c:pt idx="10">
                  <c:v>2.88183281578004</c:v>
                </c:pt>
              </c:numCache>
            </c:numRef>
          </c:yVal>
          <c:smooth val="0"/>
        </c:ser>
        <c:axId val="89710552"/>
        <c:axId val="686724"/>
      </c:scatterChart>
      <c:valAx>
        <c:axId val="980022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72406492"/>
        <c:crosses val="autoZero"/>
        <c:crossBetween val="midCat"/>
      </c:valAx>
      <c:valAx>
        <c:axId val="7240649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LAB Log10 cfu/mL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8002224"/>
        <c:crosses val="autoZero"/>
        <c:crossBetween val="midCat"/>
      </c:valAx>
      <c:valAx>
        <c:axId val="89710552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724"/>
        <c:crossBetween val="midCat"/>
      </c:valAx>
      <c:valAx>
        <c:axId val="686724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lang="ca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ca-ES" sz="1000" spc="-1" strike="noStrike">
                    <a:solidFill>
                      <a:srgbClr val="000000"/>
                    </a:solidFill>
                    <a:latin typeface="Calibri"/>
                  </a:rPr>
                  <a:t>Lactic Acid (mg/mL)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9710552"/>
        <c:crosses val="max"/>
        <c:crossBetween val="midCat"/>
        <c:majorUnit val="0.5"/>
      </c:valAx>
      <c:spPr>
        <a:noFill/>
        <a:ln w="25560">
          <a:noFill/>
        </a:ln>
      </c:spPr>
    </c:plotArea>
    <c:legend>
      <c:legendPos val="b"/>
      <c:layout>
        <c:manualLayout>
          <c:xMode val="edge"/>
          <c:yMode val="edge"/>
          <c:x val="0.0844131632034972"/>
          <c:y val="0.864383149754188"/>
          <c:w val="0.809787966365984"/>
          <c:h val="0.10620507418753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228600</xdr:colOff>
      <xdr:row>20</xdr:row>
      <xdr:rowOff>38160</xdr:rowOff>
    </xdr:from>
    <xdr:to>
      <xdr:col>12</xdr:col>
      <xdr:colOff>466200</xdr:colOff>
      <xdr:row>32</xdr:row>
      <xdr:rowOff>104400</xdr:rowOff>
    </xdr:to>
    <xdr:graphicFrame>
      <xdr:nvGraphicFramePr>
        <xdr:cNvPr id="0" name="Gráfico 2"/>
        <xdr:cNvGraphicFramePr/>
      </xdr:nvGraphicFramePr>
      <xdr:xfrm>
        <a:off x="5873760" y="4314960"/>
        <a:ext cx="4269960" cy="223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20</xdr:row>
      <xdr:rowOff>0</xdr:rowOff>
    </xdr:from>
    <xdr:to>
      <xdr:col>24</xdr:col>
      <xdr:colOff>237600</xdr:colOff>
      <xdr:row>32</xdr:row>
      <xdr:rowOff>180720</xdr:rowOff>
    </xdr:to>
    <xdr:graphicFrame>
      <xdr:nvGraphicFramePr>
        <xdr:cNvPr id="1" name="Gráfico 2"/>
        <xdr:cNvGraphicFramePr/>
      </xdr:nvGraphicFramePr>
      <xdr:xfrm>
        <a:off x="15322680" y="4276800"/>
        <a:ext cx="4269600" cy="2352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480240</xdr:colOff>
      <xdr:row>20</xdr:row>
      <xdr:rowOff>0</xdr:rowOff>
    </xdr:from>
    <xdr:to>
      <xdr:col>12</xdr:col>
      <xdr:colOff>640080</xdr:colOff>
      <xdr:row>31</xdr:row>
      <xdr:rowOff>37800</xdr:rowOff>
    </xdr:to>
    <xdr:graphicFrame>
      <xdr:nvGraphicFramePr>
        <xdr:cNvPr id="2" name="Gráfico 2"/>
        <xdr:cNvGraphicFramePr/>
      </xdr:nvGraphicFramePr>
      <xdr:xfrm>
        <a:off x="480240" y="4286160"/>
        <a:ext cx="159840" cy="202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12</xdr:col>
      <xdr:colOff>146520</xdr:colOff>
      <xdr:row>13</xdr:row>
      <xdr:rowOff>147960</xdr:rowOff>
    </xdr:from>
    <xdr:to>
      <xdr:col>12</xdr:col>
      <xdr:colOff>517680</xdr:colOff>
      <xdr:row>15</xdr:row>
      <xdr:rowOff>33480</xdr:rowOff>
    </xdr:to>
    <xdr:sp>
      <xdr:nvSpPr>
        <xdr:cNvPr id="3" name="CuadroTexto 3"/>
        <xdr:cNvSpPr/>
      </xdr:nvSpPr>
      <xdr:spPr>
        <a:xfrm>
          <a:off x="146520" y="3091320"/>
          <a:ext cx="371160" cy="266400"/>
        </a:xfrm>
        <a:prstGeom prst="rect">
          <a:avLst/>
        </a:prstGeom>
        <a:solidFill>
          <a:srgbClr val="f8cbad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latin typeface="Calibri"/>
              <a:ea typeface="Calibri"/>
            </a:rPr>
            <a:t>Eq. 18 del Groff et al 2022</a:t>
          </a:r>
          <a:endParaRPr b="0" lang="en-DK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20</xdr:col>
      <xdr:colOff>392040</xdr:colOff>
      <xdr:row>21</xdr:row>
      <xdr:rowOff>32760</xdr:rowOff>
    </xdr:from>
    <xdr:to>
      <xdr:col>25</xdr:col>
      <xdr:colOff>629640</xdr:colOff>
      <xdr:row>35</xdr:row>
      <xdr:rowOff>32400</xdr:rowOff>
    </xdr:to>
    <xdr:graphicFrame>
      <xdr:nvGraphicFramePr>
        <xdr:cNvPr id="4" name="Gráfico 2"/>
        <xdr:cNvGraphicFramePr/>
      </xdr:nvGraphicFramePr>
      <xdr:xfrm>
        <a:off x="8321400" y="4500000"/>
        <a:ext cx="4269600" cy="25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14</xdr:col>
      <xdr:colOff>401760</xdr:colOff>
      <xdr:row>14</xdr:row>
      <xdr:rowOff>55440</xdr:rowOff>
    </xdr:from>
    <xdr:to>
      <xdr:col>16</xdr:col>
      <xdr:colOff>772920</xdr:colOff>
      <xdr:row>15</xdr:row>
      <xdr:rowOff>134640</xdr:rowOff>
    </xdr:to>
    <xdr:sp>
      <xdr:nvSpPr>
        <xdr:cNvPr id="5" name="CuadroTexto 3"/>
        <xdr:cNvSpPr/>
      </xdr:nvSpPr>
      <xdr:spPr>
        <a:xfrm>
          <a:off x="2014560" y="3189240"/>
          <a:ext cx="1984320" cy="269640"/>
        </a:xfrm>
        <a:prstGeom prst="rect">
          <a:avLst/>
        </a:prstGeom>
        <a:solidFill>
          <a:srgbClr val="f8cbad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latin typeface="Calibri"/>
              <a:ea typeface="Calibri"/>
            </a:rPr>
            <a:t>Eq. 18 del Groff et al 2022</a:t>
          </a:r>
          <a:endParaRPr b="0" lang="en-DK" sz="11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A66"/>
  <sheetViews>
    <sheetView showFormulas="false" showGridLines="true" showRowColHeaders="true" showZeros="true" rightToLeft="false" tabSelected="false" showOutlineSymbols="true" defaultGridColor="true" view="normal" topLeftCell="E4" colorId="64" zoomScale="120" zoomScaleNormal="120" zoomScalePageLayoutView="100" workbookViewId="0">
      <selection pane="topLeft" activeCell="D21" activeCellId="0" sqref="D21"/>
    </sheetView>
  </sheetViews>
  <sheetFormatPr defaultColWidth="11.4453125" defaultRowHeight="14.25" zeroHeight="false" outlineLevelRow="0" outlineLevelCol="0"/>
  <sheetData>
    <row r="3" customFormat="false" ht="45" hidden="false" customHeight="false" outlineLevel="0" collapsed="false">
      <c r="C3" s="1"/>
    </row>
    <row r="4" customFormat="false" ht="15" hidden="false" customHeight="false" outlineLevel="0" collapsed="false">
      <c r="C4" s="2" t="s">
        <v>0</v>
      </c>
      <c r="D4" s="3"/>
      <c r="E4" s="3"/>
      <c r="F4" s="4"/>
      <c r="G4" s="4"/>
      <c r="H4" s="4"/>
      <c r="I4" s="4"/>
      <c r="J4" s="4"/>
      <c r="K4" s="4"/>
      <c r="L4" s="4"/>
      <c r="M4" s="5"/>
      <c r="N4" s="6"/>
      <c r="O4" s="4"/>
      <c r="P4" s="4"/>
      <c r="Q4" s="4"/>
      <c r="R4" s="4"/>
      <c r="S4" s="4"/>
      <c r="T4" s="4"/>
      <c r="U4" s="4"/>
      <c r="V4" s="4"/>
      <c r="W4" s="4"/>
      <c r="X4" s="4"/>
      <c r="Y4" s="5"/>
    </row>
    <row r="5" customFormat="false" ht="15.75" hidden="false" customHeight="false" outlineLevel="0" collapsed="false">
      <c r="C5" s="7" t="s">
        <v>1</v>
      </c>
      <c r="D5" s="8"/>
      <c r="E5" s="8"/>
      <c r="H5" s="9" t="s">
        <v>2</v>
      </c>
      <c r="L5" s="9" t="s">
        <v>3</v>
      </c>
      <c r="M5" s="10"/>
      <c r="N5" s="7" t="s">
        <v>4</v>
      </c>
      <c r="T5" s="8"/>
      <c r="U5" s="9" t="s">
        <v>2</v>
      </c>
      <c r="W5" s="9" t="s">
        <v>5</v>
      </c>
      <c r="Y5" s="10"/>
    </row>
    <row r="6" customFormat="false" ht="16.5" hidden="false" customHeight="false" outlineLevel="0" collapsed="false">
      <c r="C6" s="11" t="s">
        <v>6</v>
      </c>
      <c r="D6" s="12" t="s">
        <v>7</v>
      </c>
      <c r="E6" s="13"/>
      <c r="F6" s="14"/>
      <c r="G6" s="14"/>
      <c r="H6" s="15" t="n">
        <f aca="false">COUNT(G21:G36)</f>
        <v>12</v>
      </c>
      <c r="M6" s="10"/>
      <c r="N6" s="16"/>
      <c r="O6" s="12" t="s">
        <v>8</v>
      </c>
      <c r="P6" s="14"/>
      <c r="Q6" s="12"/>
      <c r="R6" s="12"/>
      <c r="S6" s="14"/>
      <c r="T6" s="8"/>
      <c r="U6" s="15" t="n">
        <f aca="false">COUNT(R21:R57)</f>
        <v>16</v>
      </c>
      <c r="Y6" s="10"/>
    </row>
    <row r="7" customFormat="false" ht="16.5" hidden="false" customHeight="false" outlineLevel="0" collapsed="false">
      <c r="C7" s="11" t="s">
        <v>9</v>
      </c>
      <c r="D7" s="12" t="s">
        <v>10</v>
      </c>
      <c r="E7" s="13"/>
      <c r="F7" s="14"/>
      <c r="G7" s="14"/>
      <c r="H7" s="9" t="s">
        <v>11</v>
      </c>
      <c r="M7" s="10"/>
      <c r="N7" s="16"/>
      <c r="U7" s="9" t="s">
        <v>11</v>
      </c>
      <c r="Y7" s="10"/>
    </row>
    <row r="8" customFormat="false" ht="15" hidden="false" customHeight="false" outlineLevel="0" collapsed="false">
      <c r="C8" s="16"/>
      <c r="F8" s="17"/>
      <c r="G8" s="17"/>
      <c r="H8" s="15" t="n">
        <f aca="false">COUNT(D10:D13)</f>
        <v>4</v>
      </c>
      <c r="M8" s="10"/>
      <c r="N8" s="16"/>
      <c r="U8" s="15" t="n">
        <f aca="false">COUNT(O11:O13)</f>
        <v>3</v>
      </c>
      <c r="Y8" s="10"/>
    </row>
    <row r="9" customFormat="false" ht="15" hidden="false" customHeight="false" outlineLevel="0" collapsed="false">
      <c r="C9" s="18" t="s">
        <v>12</v>
      </c>
      <c r="H9" s="19" t="s">
        <v>13</v>
      </c>
      <c r="M9" s="10"/>
      <c r="N9" s="18" t="s">
        <v>12</v>
      </c>
      <c r="Q9" s="8"/>
      <c r="U9" s="19" t="s">
        <v>13</v>
      </c>
      <c r="Y9" s="10"/>
    </row>
    <row r="10" customFormat="false" ht="15" hidden="false" customHeight="false" outlineLevel="0" collapsed="false">
      <c r="C10" s="20" t="s">
        <v>14</v>
      </c>
      <c r="D10" s="21" t="n">
        <v>0.972171369313439</v>
      </c>
      <c r="E10" s="22" t="s">
        <v>15</v>
      </c>
      <c r="H10" s="23" t="n">
        <f aca="false">E11/(H6-H8)</f>
        <v>0.0345874009200403</v>
      </c>
      <c r="M10" s="10"/>
      <c r="N10" s="20" t="s">
        <v>16</v>
      </c>
      <c r="O10" s="24" t="n">
        <v>0</v>
      </c>
      <c r="P10" s="22" t="s">
        <v>15</v>
      </c>
      <c r="U10" s="23" t="n">
        <f aca="false">P11/(U6-U8)</f>
        <v>0.0308076443554347</v>
      </c>
      <c r="Y10" s="10"/>
    </row>
    <row r="11" customFormat="false" ht="16.5" hidden="false" customHeight="false" outlineLevel="0" collapsed="false">
      <c r="C11" s="25" t="s">
        <v>17</v>
      </c>
      <c r="D11" s="26" t="n">
        <v>5.19587650623435</v>
      </c>
      <c r="E11" s="27" t="n">
        <f aca="false">SUM(G21:G57)</f>
        <v>0.276699207360323</v>
      </c>
      <c r="H11" s="28"/>
      <c r="M11" s="10"/>
      <c r="N11" s="25" t="s">
        <v>17</v>
      </c>
      <c r="O11" s="26" t="n">
        <v>5.00446510899184</v>
      </c>
      <c r="P11" s="27" t="n">
        <f aca="false">SUM(R21:R36)</f>
        <v>0.400499376620651</v>
      </c>
      <c r="U11" s="28"/>
      <c r="Y11" s="10"/>
    </row>
    <row r="12" customFormat="false" ht="16.5" hidden="false" customHeight="false" outlineLevel="0" collapsed="false">
      <c r="C12" s="25" t="s">
        <v>18</v>
      </c>
      <c r="D12" s="26" t="n">
        <v>0.364136545809149</v>
      </c>
      <c r="E12" s="22" t="s">
        <v>19</v>
      </c>
      <c r="H12" s="19" t="s">
        <v>20</v>
      </c>
      <c r="J12" s="9" t="s">
        <v>21</v>
      </c>
      <c r="M12" s="10"/>
      <c r="N12" s="25" t="s">
        <v>22</v>
      </c>
      <c r="O12" s="26" t="n">
        <v>0.378272066896853</v>
      </c>
      <c r="P12" s="22" t="s">
        <v>19</v>
      </c>
      <c r="U12" s="19" t="s">
        <v>20</v>
      </c>
      <c r="W12" s="9" t="s">
        <v>21</v>
      </c>
      <c r="Y12" s="10"/>
    </row>
    <row r="13" customFormat="false" ht="16.5" hidden="false" customHeight="false" outlineLevel="0" collapsed="false">
      <c r="C13" s="29" t="s">
        <v>23</v>
      </c>
      <c r="D13" s="30" t="n">
        <v>8.06445389424692</v>
      </c>
      <c r="E13" s="31" t="n">
        <f aca="false">SQRT(E11/(COUNT(G21:G57)-H8))</f>
        <v>0.185976882757079</v>
      </c>
      <c r="H13" s="23" t="n">
        <f aca="false">1-E11/J13</f>
        <v>0.980517430517777</v>
      </c>
      <c r="J13" s="23" t="n">
        <f aca="false">E58</f>
        <v>14.2023980775639</v>
      </c>
      <c r="M13" s="10"/>
      <c r="N13" s="29" t="s">
        <v>23</v>
      </c>
      <c r="O13" s="30" t="n">
        <v>8.32347910579133</v>
      </c>
      <c r="P13" s="32" t="n">
        <f aca="false">SQRT(P11/(COUNT(R21:R57)-U8))</f>
        <v>0.175521065275467</v>
      </c>
      <c r="U13" s="23" t="n">
        <f aca="false">1-P11/W13</f>
        <v>0.979047714851229</v>
      </c>
      <c r="W13" s="23" t="n">
        <f aca="false">P58</f>
        <v>19.1148303765879</v>
      </c>
      <c r="Y13" s="10"/>
    </row>
    <row r="14" customFormat="false" ht="15" hidden="false" customHeight="false" outlineLevel="0" collapsed="false">
      <c r="C14" s="16" t="s">
        <v>24</v>
      </c>
      <c r="F14" s="33"/>
      <c r="G14" s="34"/>
      <c r="H14" s="19" t="s">
        <v>25</v>
      </c>
      <c r="M14" s="10"/>
      <c r="N14" s="16"/>
      <c r="U14" s="19" t="s">
        <v>25</v>
      </c>
      <c r="Y14" s="10"/>
    </row>
    <row r="15" customFormat="false" ht="15" hidden="false" customHeight="false" outlineLevel="0" collapsed="false">
      <c r="C15" s="16"/>
      <c r="F15" s="33"/>
      <c r="G15" s="34"/>
      <c r="H15" s="23" t="n">
        <f aca="false">(((H6-1)*H13)-(H8+1))/(H6-H8)</f>
        <v>0.723211466961944</v>
      </c>
      <c r="M15" s="10"/>
      <c r="N15" s="16"/>
      <c r="U15" s="23" t="n">
        <f aca="false">(((U6-1)*U13)-(U8+1))/(U6-U8)</f>
        <v>0.821978132520649</v>
      </c>
      <c r="Y15" s="10"/>
    </row>
    <row r="16" customFormat="false" ht="15" hidden="false" customHeight="false" outlineLevel="0" collapsed="false">
      <c r="C16" s="16"/>
      <c r="F16" s="33"/>
      <c r="G16" s="34"/>
      <c r="I16" s="35" t="s">
        <v>26</v>
      </c>
      <c r="J16" s="36"/>
      <c r="M16" s="10"/>
      <c r="N16" s="16"/>
      <c r="V16" s="35" t="s">
        <v>26</v>
      </c>
      <c r="W16" s="36"/>
      <c r="Y16" s="10"/>
    </row>
    <row r="17" customFormat="false" ht="15" hidden="false" customHeight="false" outlineLevel="0" collapsed="false">
      <c r="C17" s="16"/>
      <c r="F17" s="33"/>
      <c r="G17" s="34"/>
      <c r="I17" s="23" t="n">
        <f aca="false">1-(1-H13)*((H6-1)/(H6-(H8-1)-1))</f>
        <v>0.973211466961944</v>
      </c>
      <c r="M17" s="10"/>
      <c r="N17" s="16"/>
      <c r="V17" s="23" t="n">
        <f aca="false">1-(1-U13)*((U6-1)/(U6-(U8-1)-1))</f>
        <v>0.975824286366803</v>
      </c>
      <c r="Y17" s="10"/>
    </row>
    <row r="18" customFormat="false" ht="14.25" hidden="false" customHeight="false" outlineLevel="0" collapsed="false">
      <c r="C18" s="16"/>
      <c r="F18" s="33"/>
      <c r="G18" s="34"/>
      <c r="H18" s="17"/>
      <c r="I18" s="8"/>
      <c r="M18" s="10"/>
      <c r="N18" s="16"/>
      <c r="Y18" s="10"/>
    </row>
    <row r="19" customFormat="false" ht="14.25" hidden="false" customHeight="false" outlineLevel="0" collapsed="false">
      <c r="C19" s="18" t="s">
        <v>27</v>
      </c>
      <c r="F19" s="37" t="s">
        <v>28</v>
      </c>
      <c r="I19" s="37" t="s">
        <v>29</v>
      </c>
      <c r="M19" s="10"/>
      <c r="N19" s="18" t="s">
        <v>27</v>
      </c>
      <c r="Q19" s="37" t="s">
        <v>28</v>
      </c>
      <c r="T19" s="37" t="s">
        <v>29</v>
      </c>
      <c r="Y19" s="10"/>
    </row>
    <row r="20" customFormat="false" ht="16.5" hidden="false" customHeight="false" outlineLevel="0" collapsed="false">
      <c r="A20" s="0" t="s">
        <v>30</v>
      </c>
      <c r="B20" s="0" t="s">
        <v>31</v>
      </c>
      <c r="C20" s="38" t="s">
        <v>32</v>
      </c>
      <c r="D20" s="39" t="s">
        <v>33</v>
      </c>
      <c r="E20" s="40" t="s">
        <v>34</v>
      </c>
      <c r="F20" s="40" t="s">
        <v>33</v>
      </c>
      <c r="G20" s="40" t="s">
        <v>35</v>
      </c>
      <c r="M20" s="10"/>
      <c r="N20" s="41" t="s">
        <v>36</v>
      </c>
      <c r="O20" s="39" t="s">
        <v>33</v>
      </c>
      <c r="P20" s="40" t="s">
        <v>34</v>
      </c>
      <c r="Q20" s="40" t="s">
        <v>33</v>
      </c>
      <c r="R20" s="40" t="s">
        <v>35</v>
      </c>
      <c r="Y20" s="10"/>
      <c r="Z20" s="42" t="n">
        <v>1</v>
      </c>
      <c r="AA20" s="42" t="n">
        <v>5.27875360095283</v>
      </c>
    </row>
    <row r="21" customFormat="false" ht="14.25" hidden="false" customHeight="false" outlineLevel="0" collapsed="false">
      <c r="A21" s="0" t="n">
        <f aca="false">B21/D21</f>
        <v>0</v>
      </c>
      <c r="B21" s="0" t="n">
        <v>0</v>
      </c>
      <c r="C21" s="43" t="n">
        <v>1</v>
      </c>
      <c r="D21" s="44" t="n">
        <v>5.12710479836481</v>
      </c>
      <c r="E21" s="45" t="n">
        <f aca="false">(D21-AVERAGE(D$21:D$57))^2</f>
        <v>4.31990658629041</v>
      </c>
      <c r="F21" s="46" t="n">
        <f aca="false">IF(C21&lt;$D$10,$D$11,LOG((10^$D$13)/(1+((10^$D$13/10^$D$11)-1)*EXP(-$D$12*(C21-$D$10)))))</f>
        <v>5.20027140890088</v>
      </c>
      <c r="G21" s="28" t="n">
        <f aca="false">(D21-F21)^2</f>
        <v>0.00535335289733763</v>
      </c>
      <c r="M21" s="10"/>
      <c r="N21" s="43" t="n">
        <v>1</v>
      </c>
      <c r="O21" s="44" t="n">
        <v>5.15836249209525</v>
      </c>
      <c r="P21" s="45" t="n">
        <f aca="false">(O21-AVERAGE(O$21:O$57))^2</f>
        <v>5.444894421619</v>
      </c>
      <c r="Q21" s="46" t="n">
        <f aca="false">IF(N21&lt;O$10,O$11,LOG((10^O$13)/(1+((10^O$13/10^O$11)-1)*EXP(-O$12*(N21-O$10)))))</f>
        <v>5.16865080497505</v>
      </c>
      <c r="R21" s="28" t="n">
        <f aca="false">(O21-Q21)^2</f>
        <v>0.000105849381912575</v>
      </c>
      <c r="Y21" s="10"/>
      <c r="Z21" s="42" t="n">
        <v>3.00000000005821</v>
      </c>
      <c r="AA21" s="47"/>
    </row>
    <row r="22" customFormat="false" ht="14.25" hidden="false" customHeight="false" outlineLevel="0" collapsed="false">
      <c r="A22" s="0" t="n">
        <f aca="false">B22/D22</f>
        <v>0</v>
      </c>
      <c r="B22" s="0" t="n">
        <v>0</v>
      </c>
      <c r="C22" s="48" t="n">
        <v>3.25</v>
      </c>
      <c r="D22" s="49" t="n">
        <v>5.62940959910272</v>
      </c>
      <c r="E22" s="45" t="n">
        <f aca="false">(D22-AVERAGE(D$21:D$57))^2</f>
        <v>2.48419742885587</v>
      </c>
      <c r="F22" s="46" t="n">
        <f aca="false">IF(C22&lt;$D$10,$D$11,LOG((10^$D$13)/(1+((10^$D$13/10^$D$11)-1)*EXP(-$D$12*(C22-$D$10)))))</f>
        <v>5.55533924725384</v>
      </c>
      <c r="G22" s="28" t="n">
        <f aca="false">(D22-F22)^2</f>
        <v>0.00548641702301657</v>
      </c>
      <c r="M22" s="10"/>
      <c r="N22" s="48" t="n">
        <v>3.00000000005821</v>
      </c>
      <c r="O22" s="49" t="n">
        <v>5.44715803134222</v>
      </c>
      <c r="P22" s="45" t="n">
        <f aca="false">(O22-AVERAGE(O$21:O$57))^2</f>
        <v>4.18052907631531</v>
      </c>
      <c r="Q22" s="46" t="n">
        <f aca="false">IF(N22&lt;O$10,O$11,LOG((10^O$13)/(1+((10^O$13/10^O$11)-1)*EXP(-O$12*(N22-O$10)))))</f>
        <v>5.49687002499575</v>
      </c>
      <c r="R22" s="28" t="n">
        <f aca="false">(O22-Q22)^2</f>
        <v>0.00247128231300909</v>
      </c>
      <c r="Y22" s="10"/>
      <c r="Z22" s="42" t="n">
        <v>6.00000000005821</v>
      </c>
      <c r="AA22" s="47"/>
    </row>
    <row r="23" customFormat="false" ht="14.25" hidden="false" customHeight="false" outlineLevel="0" collapsed="false">
      <c r="A23" s="0" t="n">
        <f aca="false">B23/D23</f>
        <v>0</v>
      </c>
      <c r="B23" s="0" t="n">
        <v>0</v>
      </c>
      <c r="C23" s="48" t="n">
        <v>6.00000000005821</v>
      </c>
      <c r="D23" s="49" t="n">
        <v>5.95424250943933</v>
      </c>
      <c r="E23" s="45" t="n">
        <f aca="false">(D23-AVERAGE(D$21:D$57))^2</f>
        <v>1.56575365714598</v>
      </c>
      <c r="F23" s="46" t="n">
        <f aca="false">IF(C23&lt;$D$10,$D$11,LOG((10^$D$13)/(1+((10^$D$13/10^$D$11)-1)*EXP(-$D$12*(C23-$D$10)))))</f>
        <v>5.98792141344128</v>
      </c>
      <c r="G23" s="28" t="n">
        <f aca="false">(D23-F23)^2</f>
        <v>0.00113426857477285</v>
      </c>
      <c r="M23" s="10"/>
      <c r="N23" s="48" t="n">
        <v>6.00000000005821</v>
      </c>
      <c r="O23" s="49" t="n">
        <v>6.06445798922692</v>
      </c>
      <c r="P23" s="45" t="n">
        <f aca="false">(O23-AVERAGE(O$21:O$57))^2</f>
        <v>2.03728308374549</v>
      </c>
      <c r="Q23" s="46" t="n">
        <f aca="false">IF(N23&lt;O$10,O$11,LOG((10^O$13)/(1+((10^O$13/10^O$11)-1)*EXP(-O$12*(N23-O$10)))))</f>
        <v>5.98835017242875</v>
      </c>
      <c r="R23" s="28" t="n">
        <f aca="false">(O23-Q23)^2</f>
        <v>0.00579239977778352</v>
      </c>
      <c r="Y23" s="10"/>
      <c r="Z23" s="42" t="n">
        <v>9.00000000005821</v>
      </c>
      <c r="AA23" s="47"/>
    </row>
    <row r="24" customFormat="false" ht="14.25" hidden="false" customHeight="false" outlineLevel="0" collapsed="false">
      <c r="A24" s="0" t="n">
        <f aca="false">B24/D24</f>
        <v>0</v>
      </c>
      <c r="B24" s="0" t="n">
        <v>0</v>
      </c>
      <c r="C24" s="48" t="n">
        <v>9.00000000005821</v>
      </c>
      <c r="D24" s="49" t="n">
        <v>6.52374646681157</v>
      </c>
      <c r="E24" s="45" t="n">
        <f aca="false">(D24-AVERAGE(D$21:D$57))^2</f>
        <v>0.464846915582319</v>
      </c>
      <c r="F24" s="46" t="n">
        <f aca="false">IF(C24&lt;$D$10,$D$11,LOG((10^$D$13)/(1+((10^$D$13/10^$D$11)-1)*EXP(-$D$12*(C24-$D$10)))))</f>
        <v>6.45519319125769</v>
      </c>
      <c r="G24" s="28" t="n">
        <f aca="false">(D24-F24)^2</f>
        <v>0.00469955158916617</v>
      </c>
      <c r="M24" s="10"/>
      <c r="N24" s="48" t="n">
        <v>9.00000000005821</v>
      </c>
      <c r="O24" s="49" t="n">
        <v>6.47129171105894</v>
      </c>
      <c r="P24" s="45" t="n">
        <f aca="false">(O24-AVERAGE(O$21:O$57))^2</f>
        <v>1.04142134409397</v>
      </c>
      <c r="Q24" s="46" t="n">
        <f aca="false">IF(N24&lt;O$10,O$11,LOG((10^O$13)/(1+((10^O$13/10^O$11)-1)*EXP(-O$12*(N24-O$10)))))</f>
        <v>6.47697809008954</v>
      </c>
      <c r="R24" s="28" t="n">
        <f aca="false">(O24-Q24)^2</f>
        <v>3.23349064797041E-005</v>
      </c>
      <c r="Y24" s="10"/>
      <c r="Z24" s="42" t="n">
        <v>12.1666666667443</v>
      </c>
      <c r="AA24" s="42" t="n">
        <v>6.94448267215017</v>
      </c>
    </row>
    <row r="25" customFormat="false" ht="14.25" hidden="false" customHeight="false" outlineLevel="0" collapsed="false">
      <c r="A25" s="0" t="n">
        <f aca="false">B25/D25</f>
        <v>0</v>
      </c>
      <c r="B25" s="0" t="n">
        <v>0</v>
      </c>
      <c r="C25" s="48" t="n">
        <v>12.0000000000582</v>
      </c>
      <c r="D25" s="49" t="n">
        <v>6.88081359228079</v>
      </c>
      <c r="E25" s="45" t="n">
        <f aca="false">(D25-AVERAGE(D$21:D$57))^2</f>
        <v>0.105449380139838</v>
      </c>
      <c r="F25" s="46" t="n">
        <f aca="false">IF(C25&lt;$D$10,$D$11,LOG((10^$D$13)/(1+((10^$D$13/10^$D$11)-1)*EXP(-$D$12*(C25-$D$10)))))</f>
        <v>6.90896041887477</v>
      </c>
      <c r="G25" s="28" t="n">
        <f aca="false">(D25-F25)^2</f>
        <v>0.000792243847311751</v>
      </c>
      <c r="M25" s="10"/>
      <c r="N25" s="48" t="n">
        <v>12.1666666667443</v>
      </c>
      <c r="O25" s="49" t="n">
        <v>6.86923171973098</v>
      </c>
      <c r="P25" s="45" t="n">
        <f aca="false">(O25-AVERAGE(O$21:O$57))^2</f>
        <v>0.387581610258665</v>
      </c>
      <c r="Q25" s="46" t="n">
        <f aca="false">IF(N25&lt;O$10,O$11,LOG((10^O$13)/(1+((10^O$13/10^O$11)-1)*EXP(-O$12*(N25-O$10)))))</f>
        <v>6.98312906827592</v>
      </c>
      <c r="R25" s="28" t="n">
        <f aca="false">(O25-Q25)^2</f>
        <v>0.012972606005569</v>
      </c>
      <c r="Y25" s="10"/>
      <c r="Z25" s="42" t="n">
        <v>24.1666666667443</v>
      </c>
      <c r="AA25" s="42"/>
    </row>
    <row r="26" customFormat="false" ht="14.25" hidden="false" customHeight="false" outlineLevel="0" collapsed="false">
      <c r="A26" s="0" t="n">
        <f aca="false">B26/D26</f>
        <v>0.278014539274534</v>
      </c>
      <c r="B26" s="0" t="n">
        <v>2.25579422279125</v>
      </c>
      <c r="C26" s="48" t="n">
        <v>24.4166666666861</v>
      </c>
      <c r="D26" s="49" t="n">
        <v>8.11394335230684</v>
      </c>
      <c r="E26" s="45" t="n">
        <f aca="false">(D26-AVERAGE(D$21:D$57))^2</f>
        <v>0.825190663243023</v>
      </c>
      <c r="F26" s="46" t="n">
        <f aca="false">IF(C26&lt;$D$10,$D$11,LOG((10^$D$13)/(1+((10^$D$13/10^$D$11)-1)*EXP(-$D$12*(C26-$D$10)))))</f>
        <v>8.00576856091372</v>
      </c>
      <c r="G26" s="28" t="n">
        <f aca="false">(D26-F26)^2</f>
        <v>0.0117017854929454</v>
      </c>
      <c r="M26" s="10"/>
      <c r="N26" s="48" t="n">
        <v>15</v>
      </c>
      <c r="O26" s="49" t="n">
        <v>7.77085201164214</v>
      </c>
      <c r="P26" s="45" t="n">
        <f aca="false">(O26-AVERAGE(O$21:O$57))^2</f>
        <v>0.0778743521770523</v>
      </c>
      <c r="Q26" s="46" t="n">
        <f aca="false">IF(N26&lt;O$10,O$11,LOG((10^O$13)/(1+((10^O$13/10^O$11)-1)*EXP(-O$12*(N26-O$10)))))</f>
        <v>7.41207803969167</v>
      </c>
      <c r="R26" s="28" t="n">
        <f aca="false">(O26-Q26)^2</f>
        <v>0.128718762949117</v>
      </c>
      <c r="Y26" s="10"/>
      <c r="Z26" s="42" t="n">
        <v>27.0833333333139</v>
      </c>
      <c r="AA26" s="47"/>
    </row>
    <row r="27" customFormat="false" ht="14.25" hidden="false" customHeight="false" outlineLevel="0" collapsed="false">
      <c r="A27" s="0" t="n">
        <f aca="false">B27/D27</f>
        <v>0.0410425625496286</v>
      </c>
      <c r="B27" s="0" t="n">
        <v>0.311093742376794</v>
      </c>
      <c r="C27" s="48" t="n">
        <v>27.25</v>
      </c>
      <c r="D27" s="49" t="n">
        <v>7.57978359661681</v>
      </c>
      <c r="E27" s="45" t="n">
        <f aca="false">(D27-AVERAGE(D$21:D$57))^2</f>
        <v>0.14005580299498</v>
      </c>
      <c r="F27" s="46" t="n">
        <f aca="false">IF(C27&lt;$D$10,$D$11,LOG((10^$D$13)/(1+((10^$D$13/10^$D$11)-1)*EXP(-$D$12*(C27-$D$10)))))</f>
        <v>8.04261812058601</v>
      </c>
      <c r="G27" s="28" t="n">
        <f aca="false">(D27-F27)^2</f>
        <v>0.214215796577799</v>
      </c>
      <c r="M27" s="10"/>
      <c r="N27" s="48" t="n">
        <v>18</v>
      </c>
      <c r="O27" s="49" t="n">
        <v>7.37657695705651</v>
      </c>
      <c r="P27" s="45" t="n">
        <f aca="false">(O27-AVERAGE(O$21:O$57))^2</f>
        <v>0.01327456306363</v>
      </c>
      <c r="Q27" s="46" t="n">
        <f aca="false">IF(N27&lt;O$10,O$11,LOG((10^O$13)/(1+((10^O$13/10^O$11)-1)*EXP(-O$12*(N27-O$10)))))</f>
        <v>7.80495729827029</v>
      </c>
      <c r="R27" s="28" t="n">
        <f aca="false">(O27-Q27)^2</f>
        <v>0.183509716738429</v>
      </c>
      <c r="Y27" s="10"/>
      <c r="Z27" s="42" t="n">
        <v>30.0833333333139</v>
      </c>
      <c r="AA27" s="47"/>
    </row>
    <row r="28" customFormat="false" ht="14.25" hidden="false" customHeight="false" outlineLevel="0" collapsed="false">
      <c r="A28" s="0" t="n">
        <f aca="false">B28/D28</f>
        <v>0.292635396483042</v>
      </c>
      <c r="B28" s="0" t="n">
        <v>2.3684216637419</v>
      </c>
      <c r="C28" s="48" t="n">
        <v>30.0000000000582</v>
      </c>
      <c r="D28" s="49" t="n">
        <v>8.09342168516224</v>
      </c>
      <c r="E28" s="45" t="n">
        <f aca="false">(D28-AVERAGE(D$21:D$57))^2</f>
        <v>0.788328034864742</v>
      </c>
      <c r="F28" s="46" t="n">
        <f aca="false">IF(C28&lt;$D$10,$D$11,LOG((10^$D$13)/(1+((10^$D$13/10^$D$11)-1)*EXP(-$D$12*(C28-$D$10)))))</f>
        <v>8.05630386861232</v>
      </c>
      <c r="G28" s="28" t="n">
        <f aca="false">(D28-F28)^2</f>
        <v>0.00137773230543348</v>
      </c>
      <c r="M28" s="10"/>
      <c r="N28" s="48" t="n">
        <v>21</v>
      </c>
      <c r="O28" s="49" t="n">
        <v>8.27875360095283</v>
      </c>
      <c r="P28" s="45" t="n">
        <f aca="false">(O28-AVERAGE(O$21:O$57))^2</f>
        <v>0.619308172431751</v>
      </c>
      <c r="Q28" s="46" t="n">
        <f aca="false">IF(N28&lt;O$10,O$11,LOG((10^O$13)/(1+((10^O$13/10^O$11)-1)*EXP(-O$12*(N28-O$10)))))</f>
        <v>8.08307315135922</v>
      </c>
      <c r="R28" s="28" t="n">
        <f aca="false">(O28-Q28)^2</f>
        <v>0.0382908383531552</v>
      </c>
      <c r="Y28" s="10"/>
      <c r="Z28" s="42" t="n">
        <v>33.0833333333139</v>
      </c>
      <c r="AA28" s="47"/>
    </row>
    <row r="29" customFormat="false" ht="14.25" hidden="false" customHeight="false" outlineLevel="0" collapsed="false">
      <c r="A29" s="0" t="n">
        <f aca="false">B29/D29</f>
        <v>0.3956132339733</v>
      </c>
      <c r="B29" s="0" t="n">
        <v>3.20186472677666</v>
      </c>
      <c r="C29" s="48" t="n">
        <v>33.0000000000582</v>
      </c>
      <c r="D29" s="49" t="n">
        <v>8.09342168516224</v>
      </c>
      <c r="E29" s="45" t="n">
        <f aca="false">(D29-AVERAGE(D$21:D$57))^2</f>
        <v>0.788328034864742</v>
      </c>
      <c r="F29" s="46" t="n">
        <f aca="false">IF(C29&lt;$D$10,$D$11,LOG((10^$D$13)/(1+((10^$D$13/10^$D$11)-1)*EXP(-$D$12*(C29-$D$10)))))</f>
        <v>8.06170323478475</v>
      </c>
      <c r="G29" s="28" t="n">
        <f aca="false">(D29-F29)^2</f>
        <v>0.00100606009434905</v>
      </c>
      <c r="M29" s="10"/>
      <c r="N29" s="48" t="n">
        <v>24.1666666667443</v>
      </c>
      <c r="O29" s="49" t="n">
        <v>8.22530928172586</v>
      </c>
      <c r="P29" s="45" t="n">
        <f aca="false">(O29-AVERAGE(O$21:O$57))^2</f>
        <v>0.538047240061968</v>
      </c>
      <c r="Q29" s="46" t="n">
        <f aca="false">IF(N29&lt;O$10,O$11,LOG((10^O$13)/(1+((10^O$13/10^O$11)-1)*EXP(-O$12*(N29-O$10)))))</f>
        <v>8.23598603798988</v>
      </c>
      <c r="R29" s="28" t="n">
        <f aca="false">(O29-Q29)^2</f>
        <v>0.000113993124321186</v>
      </c>
      <c r="Y29" s="10"/>
      <c r="Z29" s="42" t="n">
        <v>35.8333333333721</v>
      </c>
      <c r="AA29" s="42" t="n">
        <v>8.22010808804006</v>
      </c>
    </row>
    <row r="30" customFormat="false" ht="14.25" hidden="false" customHeight="false" outlineLevel="0" collapsed="false">
      <c r="A30" s="0" t="n">
        <f aca="false">B30/D30</f>
        <v>0.443010878829922</v>
      </c>
      <c r="B30" s="0" t="n">
        <v>3.58855227404054</v>
      </c>
      <c r="C30" s="48" t="n">
        <v>35.8333333333721</v>
      </c>
      <c r="D30" s="49" t="n">
        <v>8.10037054511756</v>
      </c>
      <c r="E30" s="45" t="n">
        <f aca="false">(D30-AVERAGE(D$21:D$57))^2</f>
        <v>0.800715806693948</v>
      </c>
      <c r="F30" s="46" t="n">
        <f aca="false">IF(C30&lt;$D$10,$D$11,LOG((10^$D$13)/(1+((10^$D$13/10^$D$11)-1)*EXP(-$D$12*(C30-$D$10)))))</f>
        <v>8.06347157820443</v>
      </c>
      <c r="G30" s="28" t="n">
        <f aca="false">(D30-F30)^2</f>
        <v>0.00136153375925625</v>
      </c>
      <c r="M30" s="10"/>
      <c r="N30" s="48" t="n">
        <v>27.0833333333139</v>
      </c>
      <c r="O30" s="49" t="n">
        <v>8.3096301674259</v>
      </c>
      <c r="P30" s="45" t="n">
        <f aca="false">(O30-AVERAGE(O$21:O$57))^2</f>
        <v>0.668858863895841</v>
      </c>
      <c r="Q30" s="46" t="n">
        <f aca="false">IF(N30&lt;O$10,O$11,LOG((10^O$13)/(1+((10^O$13/10^O$11)-1)*EXP(-O$12*(N30-O$10)))))</f>
        <v>8.29245524772835</v>
      </c>
      <c r="R30" s="28" t="n">
        <f aca="false">(O30-Q30)^2</f>
        <v>0.000294977866617258</v>
      </c>
      <c r="Y30" s="10"/>
      <c r="Z30" s="42" t="n">
        <v>48.25</v>
      </c>
      <c r="AA30" s="42" t="n">
        <v>8.35793484700045</v>
      </c>
    </row>
    <row r="31" customFormat="false" ht="14.25" hidden="false" customHeight="false" outlineLevel="0" collapsed="false">
      <c r="A31" s="0" t="n">
        <f aca="false">B31/D31</f>
        <v>0.472764828705007</v>
      </c>
      <c r="B31" s="0" t="n">
        <v>3.86261238035378</v>
      </c>
      <c r="C31" s="48" t="n">
        <v>48.5000000001164</v>
      </c>
      <c r="D31" s="49" t="n">
        <v>8.17026171539496</v>
      </c>
      <c r="E31" s="45" t="n">
        <f aca="false">(D31-AVERAGE(D$21:D$57))^2</f>
        <v>0.930681629723236</v>
      </c>
      <c r="F31" s="46" t="n">
        <f aca="false">IF(C31&lt;$D$10,$D$11,LOG((10^$D$13)/(1+((10^$D$13/10^$D$11)-1)*EXP(-$D$12*(C31-$D$10)))))</f>
        <v>8.06444413088548</v>
      </c>
      <c r="G31" s="28" t="n">
        <f aca="false">(D31-F31)^2</f>
        <v>0.0111973611914211</v>
      </c>
      <c r="M31" s="10"/>
      <c r="N31" s="48" t="n">
        <v>30.0833333333139</v>
      </c>
      <c r="O31" s="49" t="n">
        <v>8.28330122870355</v>
      </c>
      <c r="P31" s="45" t="n">
        <f aca="false">(O31-AVERAGE(O$21:O$57))^2</f>
        <v>0.626486467932812</v>
      </c>
      <c r="Q31" s="46" t="n">
        <f aca="false">IF(N31&lt;O$10,O$11,LOG((10^O$13)/(1+((10^O$13/10^O$11)-1)*EXP(-O$12*(N31-O$10)))))</f>
        <v>8.3132617861104</v>
      </c>
      <c r="R31" s="28" t="n">
        <f aca="false">(O31-Q31)^2</f>
        <v>0.000897635000129074</v>
      </c>
      <c r="Y31" s="10"/>
      <c r="Z31" s="42" t="n">
        <v>54.0833333333139</v>
      </c>
      <c r="AA31" s="42" t="n">
        <v>8.40483371661994</v>
      </c>
    </row>
    <row r="32" customFormat="false" ht="14.25" hidden="false" customHeight="false" outlineLevel="0" collapsed="false">
      <c r="A32" s="0" t="n">
        <f aca="false">B32/D32</f>
        <v>0.556207623688753</v>
      </c>
      <c r="B32" s="0" t="n">
        <v>4.56090251424777</v>
      </c>
      <c r="C32" s="48" t="n">
        <v>54.0000000000582</v>
      </c>
      <c r="D32" s="49" t="n">
        <v>8.2</v>
      </c>
      <c r="E32" s="45" t="n">
        <f aca="false">(D32-AVERAGE(D$21:D$57))^2</f>
        <v>0.988944137164802</v>
      </c>
      <c r="F32" s="46" t="n">
        <f aca="false">IF(C32&lt;$D$10,$D$11,LOG((10^$D$13)/(1+((10^$D$13/10^$D$11)-1)*EXP(-$D$12*(C32-$D$10)))))</f>
        <v>8.0644525765368</v>
      </c>
      <c r="G32" s="28" t="n">
        <f aca="false">(D32-F32)^2</f>
        <v>0.0183731040075129</v>
      </c>
      <c r="M32" s="10"/>
      <c r="N32" s="48" t="n">
        <v>33.0833333333139</v>
      </c>
      <c r="O32" s="49" t="n">
        <v>8.36172783601759</v>
      </c>
      <c r="P32" s="45" t="n">
        <f aca="false">(O32-AVERAGE(O$21:O$57))^2</f>
        <v>0.756787928836519</v>
      </c>
      <c r="Q32" s="46" t="n">
        <f aca="false">IF(N32&lt;O$10,O$11,LOG((10^O$13)/(1+((10^O$13/10^O$11)-1)*EXP(-O$12*(N32-O$10)))))</f>
        <v>8.32016813988585</v>
      </c>
      <c r="R32" s="28" t="n">
        <f aca="false">(O32-Q32)^2</f>
        <v>0.00172720834256287</v>
      </c>
      <c r="Y32" s="10"/>
    </row>
    <row r="33" customFormat="false" ht="14.25" hidden="false" customHeight="false" outlineLevel="0" collapsed="false">
      <c r="C33" s="48"/>
      <c r="D33" s="49"/>
      <c r="E33" s="45"/>
      <c r="F33" s="46"/>
      <c r="G33" s="28"/>
      <c r="M33" s="10"/>
      <c r="N33" s="48" t="n">
        <v>35.8333333333721</v>
      </c>
      <c r="O33" s="49" t="n">
        <v>8.41161970596323</v>
      </c>
      <c r="P33" s="45" t="n">
        <f aca="false">(O33-AVERAGE(O$21:O$57))^2</f>
        <v>0.846082554048252</v>
      </c>
      <c r="Q33" s="46" t="n">
        <f aca="false">IF(N33&lt;O$10,O$11,LOG((10^O$13)/(1+((10^O$13/10^O$11)-1)*EXP(-O$12*(N33-O$10)))))</f>
        <v>8.32230623376228</v>
      </c>
      <c r="R33" s="28" t="n">
        <f aca="false">(O33-Q33)^2</f>
        <v>0.00797689631658973</v>
      </c>
      <c r="Y33" s="10"/>
    </row>
    <row r="34" customFormat="false" ht="14.25" hidden="false" customHeight="false" outlineLevel="0" collapsed="false">
      <c r="C34" s="48"/>
      <c r="D34" s="49"/>
      <c r="E34" s="45"/>
      <c r="F34" s="46"/>
      <c r="G34" s="28"/>
      <c r="M34" s="10"/>
      <c r="N34" s="48" t="n">
        <v>42</v>
      </c>
      <c r="O34" s="49" t="n">
        <v>8.3654879848909</v>
      </c>
      <c r="P34" s="45" t="n">
        <f aca="false">(O34-AVERAGE(O$21:O$57))^2</f>
        <v>0.763344242204978</v>
      </c>
      <c r="Q34" s="46" t="n">
        <f aca="false">IF(N34&lt;O$10,O$11,LOG((10^O$13)/(1+((10^O$13/10^O$11)-1)*EXP(-O$12*(N34-O$10)))))</f>
        <v>8.32336515662601</v>
      </c>
      <c r="R34" s="28" t="n">
        <f aca="false">(O34-Q34)^2</f>
        <v>0.0017743326610336</v>
      </c>
      <c r="Y34" s="10"/>
    </row>
    <row r="35" customFormat="false" ht="14.25" hidden="false" customHeight="false" outlineLevel="0" collapsed="false">
      <c r="C35" s="48"/>
      <c r="D35" s="49"/>
      <c r="E35" s="45"/>
      <c r="F35" s="46"/>
      <c r="G35" s="28"/>
      <c r="M35" s="10"/>
      <c r="N35" s="48" t="n">
        <v>48.25</v>
      </c>
      <c r="O35" s="49" t="n">
        <v>8.26007138798508</v>
      </c>
      <c r="P35" s="45" t="n">
        <f aca="false">(O35-AVERAGE(O$21:O$57))^2</f>
        <v>0.590252838293603</v>
      </c>
      <c r="Q35" s="46" t="n">
        <f aca="false">IF(N35&lt;O$10,O$11,LOG((10^O$13)/(1+((10^O$13/10^O$11)-1)*EXP(-O$12*(N35-O$10)))))</f>
        <v>8.32346839051018</v>
      </c>
      <c r="R35" s="28" t="n">
        <f aca="false">(O35-Q35)^2</f>
        <v>0.00401917992916802</v>
      </c>
      <c r="Y35" s="10"/>
    </row>
    <row r="36" customFormat="false" ht="14.25" hidden="false" customHeight="false" outlineLevel="0" collapsed="false">
      <c r="C36" s="48"/>
      <c r="D36" s="49"/>
      <c r="E36" s="45"/>
      <c r="F36" s="46"/>
      <c r="G36" s="28"/>
      <c r="M36" s="10"/>
      <c r="N36" s="48" t="n">
        <v>54.0833333333139</v>
      </c>
      <c r="O36" s="49" t="n">
        <v>8.2148438480477</v>
      </c>
      <c r="P36" s="45" t="n">
        <f aca="false">(O36-AVERAGE(O$21:O$57))^2</f>
        <v>0.522803617609025</v>
      </c>
      <c r="Q36" s="46" t="n">
        <f aca="false">IF(N36&lt;O$10,O$11,LOG((10^O$13)/(1+((10^O$13/10^O$11)-1)*EXP(-O$12*(N36-O$10)))))</f>
        <v>8.32347792628642</v>
      </c>
      <c r="R36" s="28" t="n">
        <f aca="false">(O36-Q36)^2</f>
        <v>0.0118013629547757</v>
      </c>
      <c r="Y36" s="10"/>
    </row>
    <row r="37" customFormat="false" ht="14.25" hidden="false" customHeight="false" outlineLevel="0" collapsed="false">
      <c r="C37" s="48"/>
      <c r="D37" s="49"/>
      <c r="E37" s="45"/>
      <c r="F37" s="46"/>
      <c r="G37" s="28"/>
      <c r="M37" s="10"/>
      <c r="N37" s="48"/>
      <c r="O37" s="49"/>
      <c r="P37" s="50"/>
      <c r="Q37" s="46"/>
      <c r="R37" s="28"/>
      <c r="Y37" s="10"/>
    </row>
    <row r="38" customFormat="false" ht="14.25" hidden="false" customHeight="false" outlineLevel="0" collapsed="false">
      <c r="C38" s="48"/>
      <c r="D38" s="49"/>
      <c r="E38" s="45"/>
      <c r="F38" s="46"/>
      <c r="G38" s="28"/>
      <c r="M38" s="10"/>
      <c r="N38" s="48"/>
      <c r="O38" s="49"/>
      <c r="P38" s="50"/>
      <c r="Q38" s="46"/>
      <c r="R38" s="28"/>
      <c r="Y38" s="10"/>
    </row>
    <row r="39" customFormat="false" ht="14.25" hidden="false" customHeight="false" outlineLevel="0" collapsed="false">
      <c r="C39" s="48"/>
      <c r="D39" s="49"/>
      <c r="E39" s="45"/>
      <c r="F39" s="46"/>
      <c r="G39" s="28"/>
      <c r="M39" s="10"/>
      <c r="N39" s="48"/>
      <c r="O39" s="49"/>
      <c r="P39" s="50"/>
      <c r="Q39" s="46"/>
      <c r="R39" s="28"/>
      <c r="Y39" s="10"/>
    </row>
    <row r="40" customFormat="false" ht="14.25" hidden="false" customHeight="false" outlineLevel="0" collapsed="false">
      <c r="C40" s="48"/>
      <c r="D40" s="49"/>
      <c r="E40" s="45"/>
      <c r="F40" s="46"/>
      <c r="G40" s="28"/>
      <c r="M40" s="10"/>
      <c r="N40" s="48"/>
      <c r="O40" s="49"/>
      <c r="P40" s="50"/>
      <c r="Q40" s="46"/>
      <c r="R40" s="28"/>
      <c r="Y40" s="10"/>
    </row>
    <row r="41" customFormat="false" ht="14.25" hidden="false" customHeight="false" outlineLevel="0" collapsed="false">
      <c r="C41" s="48"/>
      <c r="D41" s="49"/>
      <c r="E41" s="45"/>
      <c r="F41" s="46"/>
      <c r="G41" s="28"/>
      <c r="M41" s="10"/>
      <c r="N41" s="48"/>
      <c r="O41" s="49"/>
      <c r="P41" s="50"/>
      <c r="Q41" s="46"/>
      <c r="R41" s="28"/>
      <c r="Y41" s="10"/>
    </row>
    <row r="42" customFormat="false" ht="14.25" hidden="false" customHeight="false" outlineLevel="0" collapsed="false">
      <c r="C42" s="48"/>
      <c r="D42" s="49"/>
      <c r="E42" s="45"/>
      <c r="F42" s="46"/>
      <c r="G42" s="28"/>
      <c r="M42" s="10"/>
      <c r="N42" s="48"/>
      <c r="O42" s="49"/>
      <c r="P42" s="45"/>
      <c r="Q42" s="46"/>
      <c r="R42" s="28"/>
      <c r="Y42" s="10"/>
    </row>
    <row r="43" customFormat="false" ht="14.25" hidden="false" customHeight="false" outlineLevel="0" collapsed="false">
      <c r="C43" s="48"/>
      <c r="D43" s="49"/>
      <c r="E43" s="45"/>
      <c r="F43" s="46"/>
      <c r="G43" s="28"/>
      <c r="M43" s="10"/>
      <c r="N43" s="48"/>
      <c r="O43" s="49"/>
      <c r="P43" s="45"/>
      <c r="Q43" s="46"/>
      <c r="R43" s="28"/>
      <c r="Y43" s="10"/>
    </row>
    <row r="44" customFormat="false" ht="14.25" hidden="false" customHeight="false" outlineLevel="0" collapsed="false">
      <c r="C44" s="48"/>
      <c r="D44" s="49"/>
      <c r="E44" s="45"/>
      <c r="F44" s="46"/>
      <c r="G44" s="28"/>
      <c r="M44" s="10"/>
      <c r="N44" s="48"/>
      <c r="O44" s="49"/>
      <c r="P44" s="45"/>
      <c r="Q44" s="46"/>
      <c r="R44" s="28"/>
      <c r="Y44" s="10"/>
    </row>
    <row r="45" customFormat="false" ht="14.25" hidden="false" customHeight="false" outlineLevel="0" collapsed="false">
      <c r="C45" s="48"/>
      <c r="D45" s="49"/>
      <c r="E45" s="45"/>
      <c r="F45" s="46"/>
      <c r="G45" s="28"/>
      <c r="M45" s="10"/>
      <c r="N45" s="48"/>
      <c r="O45" s="49"/>
      <c r="P45" s="45"/>
      <c r="Q45" s="46"/>
      <c r="R45" s="28"/>
      <c r="Y45" s="10"/>
    </row>
    <row r="46" customFormat="false" ht="14.25" hidden="false" customHeight="false" outlineLevel="0" collapsed="false">
      <c r="C46" s="48"/>
      <c r="D46" s="49"/>
      <c r="E46" s="45"/>
      <c r="F46" s="46"/>
      <c r="G46" s="28"/>
      <c r="M46" s="10"/>
      <c r="N46" s="48"/>
      <c r="O46" s="49"/>
      <c r="P46" s="45"/>
      <c r="Q46" s="46"/>
      <c r="R46" s="28"/>
      <c r="Y46" s="10"/>
    </row>
    <row r="47" customFormat="false" ht="14.25" hidden="false" customHeight="false" outlineLevel="0" collapsed="false">
      <c r="C47" s="48"/>
      <c r="D47" s="49"/>
      <c r="E47" s="45"/>
      <c r="F47" s="46"/>
      <c r="G47" s="28"/>
      <c r="M47" s="10"/>
      <c r="N47" s="48"/>
      <c r="O47" s="49"/>
      <c r="P47" s="45"/>
      <c r="Q47" s="46"/>
      <c r="R47" s="28"/>
      <c r="Y47" s="10"/>
    </row>
    <row r="48" customFormat="false" ht="14.25" hidden="false" customHeight="false" outlineLevel="0" collapsed="false">
      <c r="C48" s="48"/>
      <c r="D48" s="49"/>
      <c r="E48" s="45"/>
      <c r="F48" s="46"/>
      <c r="G48" s="28"/>
      <c r="M48" s="10"/>
      <c r="N48" s="48"/>
      <c r="O48" s="49"/>
      <c r="P48" s="45"/>
      <c r="Q48" s="46"/>
      <c r="R48" s="28"/>
      <c r="Y48" s="10"/>
    </row>
    <row r="49" customFormat="false" ht="14.25" hidden="false" customHeight="false" outlineLevel="0" collapsed="false">
      <c r="C49" s="48"/>
      <c r="D49" s="49"/>
      <c r="E49" s="45"/>
      <c r="F49" s="46"/>
      <c r="G49" s="28"/>
      <c r="M49" s="10"/>
      <c r="N49" s="48"/>
      <c r="O49" s="49"/>
      <c r="P49" s="45"/>
      <c r="Q49" s="46"/>
      <c r="R49" s="28"/>
      <c r="Y49" s="10"/>
    </row>
    <row r="50" customFormat="false" ht="14.25" hidden="false" customHeight="false" outlineLevel="0" collapsed="false">
      <c r="C50" s="48"/>
      <c r="D50" s="49"/>
      <c r="E50" s="45"/>
      <c r="F50" s="46"/>
      <c r="G50" s="28"/>
      <c r="M50" s="10"/>
      <c r="N50" s="48"/>
      <c r="O50" s="49"/>
      <c r="P50" s="45"/>
      <c r="Q50" s="46"/>
      <c r="R50" s="28"/>
      <c r="Y50" s="10"/>
    </row>
    <row r="51" customFormat="false" ht="14.25" hidden="false" customHeight="false" outlineLevel="0" collapsed="false">
      <c r="C51" s="48"/>
      <c r="D51" s="49"/>
      <c r="E51" s="45"/>
      <c r="F51" s="46"/>
      <c r="G51" s="28"/>
      <c r="M51" s="10"/>
      <c r="N51" s="48"/>
      <c r="O51" s="49"/>
      <c r="P51" s="45"/>
      <c r="Q51" s="46"/>
      <c r="R51" s="28"/>
      <c r="Y51" s="10"/>
    </row>
    <row r="52" customFormat="false" ht="14.25" hidden="false" customHeight="false" outlineLevel="0" collapsed="false">
      <c r="C52" s="48"/>
      <c r="D52" s="49"/>
      <c r="E52" s="45"/>
      <c r="F52" s="46"/>
      <c r="G52" s="28"/>
      <c r="M52" s="10"/>
      <c r="N52" s="48"/>
      <c r="O52" s="49"/>
      <c r="P52" s="45"/>
      <c r="Q52" s="46"/>
      <c r="R52" s="28"/>
      <c r="Y52" s="10"/>
    </row>
    <row r="53" customFormat="false" ht="14.25" hidden="false" customHeight="false" outlineLevel="0" collapsed="false">
      <c r="C53" s="48"/>
      <c r="D53" s="49"/>
      <c r="E53" s="45"/>
      <c r="F53" s="46"/>
      <c r="G53" s="28"/>
      <c r="M53" s="10"/>
      <c r="N53" s="48"/>
      <c r="O53" s="49"/>
      <c r="P53" s="45"/>
      <c r="Q53" s="46"/>
      <c r="R53" s="28"/>
      <c r="Y53" s="10"/>
    </row>
    <row r="54" customFormat="false" ht="14.25" hidden="false" customHeight="false" outlineLevel="0" collapsed="false">
      <c r="C54" s="48"/>
      <c r="D54" s="49"/>
      <c r="E54" s="45"/>
      <c r="F54" s="46"/>
      <c r="G54" s="28"/>
      <c r="M54" s="10"/>
      <c r="N54" s="48"/>
      <c r="O54" s="49"/>
      <c r="P54" s="45"/>
      <c r="Q54" s="46"/>
      <c r="R54" s="28"/>
      <c r="Y54" s="10"/>
    </row>
    <row r="55" customFormat="false" ht="14.25" hidden="false" customHeight="false" outlineLevel="0" collapsed="false">
      <c r="C55" s="48"/>
      <c r="D55" s="49"/>
      <c r="E55" s="45"/>
      <c r="F55" s="46"/>
      <c r="G55" s="28"/>
      <c r="M55" s="10"/>
      <c r="N55" s="48"/>
      <c r="O55" s="49"/>
      <c r="P55" s="45"/>
      <c r="Q55" s="46"/>
      <c r="R55" s="28"/>
      <c r="Y55" s="10"/>
    </row>
    <row r="56" customFormat="false" ht="14.25" hidden="false" customHeight="false" outlineLevel="0" collapsed="false">
      <c r="C56" s="48"/>
      <c r="D56" s="49"/>
      <c r="E56" s="45"/>
      <c r="F56" s="46"/>
      <c r="G56" s="28"/>
      <c r="M56" s="10"/>
      <c r="N56" s="48"/>
      <c r="O56" s="49"/>
      <c r="P56" s="45"/>
      <c r="Q56" s="46"/>
      <c r="R56" s="28"/>
      <c r="Y56" s="10"/>
    </row>
    <row r="57" customFormat="false" ht="14.25" hidden="false" customHeight="false" outlineLevel="0" collapsed="false">
      <c r="C57" s="48"/>
      <c r="D57" s="49"/>
      <c r="E57" s="45"/>
      <c r="F57" s="46"/>
      <c r="G57" s="28"/>
      <c r="M57" s="10"/>
      <c r="N57" s="48"/>
      <c r="O57" s="49"/>
      <c r="P57" s="45"/>
      <c r="Q57" s="46"/>
      <c r="R57" s="28"/>
      <c r="Y57" s="10"/>
    </row>
    <row r="58" customFormat="false" ht="15" hidden="false" customHeight="false" outlineLevel="0" collapsed="false">
      <c r="C58" s="51"/>
      <c r="D58" s="52" t="s">
        <v>21</v>
      </c>
      <c r="E58" s="52" t="n">
        <f aca="false">SUM(E21:E57)</f>
        <v>14.2023980775639</v>
      </c>
      <c r="F58" s="53"/>
      <c r="G58" s="53"/>
      <c r="H58" s="53"/>
      <c r="I58" s="53"/>
      <c r="J58" s="53"/>
      <c r="K58" s="53"/>
      <c r="L58" s="53"/>
      <c r="M58" s="54"/>
      <c r="N58" s="51"/>
      <c r="O58" s="55" t="s">
        <v>21</v>
      </c>
      <c r="P58" s="56" t="n">
        <f aca="false">SUM(P21:P57)</f>
        <v>19.1148303765879</v>
      </c>
      <c r="Q58" s="53"/>
      <c r="R58" s="53"/>
      <c r="S58" s="53"/>
      <c r="T58" s="53"/>
      <c r="U58" s="53"/>
      <c r="V58" s="53"/>
      <c r="W58" s="53"/>
      <c r="X58" s="53"/>
      <c r="Y58" s="54"/>
    </row>
    <row r="59" customFormat="false" ht="21" hidden="false" customHeight="false" outlineLevel="0" collapsed="false">
      <c r="F59" s="57" t="s">
        <v>37</v>
      </c>
    </row>
    <row r="60" customFormat="false" ht="15" hidden="false" customHeight="false" outlineLevel="0" collapsed="false">
      <c r="K60" s="58" t="s">
        <v>38</v>
      </c>
      <c r="L60" s="59" t="n">
        <f aca="false">($I$62-$I$65)/($I$63-$I$66)/($I$65/$I$66)</f>
        <v>0.715868587793173</v>
      </c>
    </row>
    <row r="61" customFormat="false" ht="15" hidden="false" customHeight="false" outlineLevel="0" collapsed="false">
      <c r="H61" s="60"/>
      <c r="I61" s="60" t="s">
        <v>39</v>
      </c>
      <c r="K61" s="60"/>
      <c r="L61" s="61"/>
    </row>
    <row r="62" customFormat="false" ht="15" hidden="false" customHeight="false" outlineLevel="0" collapsed="false">
      <c r="G62" s="60"/>
      <c r="H62" s="60" t="s">
        <v>40</v>
      </c>
      <c r="I62" s="62" t="n">
        <f aca="false">P11</f>
        <v>0.400499376620651</v>
      </c>
      <c r="K62" s="63" t="s">
        <v>41</v>
      </c>
      <c r="L62" s="63" t="n">
        <f aca="false">_xlfn.F.INV.RT(0.05,1,I66)</f>
        <v>5.31765507157872</v>
      </c>
    </row>
    <row r="63" customFormat="false" ht="15" hidden="false" customHeight="false" outlineLevel="0" collapsed="false">
      <c r="G63" s="60"/>
      <c r="H63" s="60" t="s">
        <v>42</v>
      </c>
      <c r="I63" s="64" t="n">
        <f aca="false">$U$6-$U$8</f>
        <v>13</v>
      </c>
      <c r="K63" s="63" t="s">
        <v>43</v>
      </c>
      <c r="L63" s="63" t="n">
        <f aca="false">_xlfn.F.INV.RT(0.01,1,I66)</f>
        <v>11.2586241432726</v>
      </c>
    </row>
    <row r="64" customFormat="false" ht="15" hidden="false" customHeight="false" outlineLevel="0" collapsed="false">
      <c r="G64" s="60"/>
      <c r="H64" s="60"/>
      <c r="I64" s="60" t="s">
        <v>44</v>
      </c>
    </row>
    <row r="65" customFormat="false" ht="24" hidden="false" customHeight="false" outlineLevel="0" collapsed="false">
      <c r="G65" s="60"/>
      <c r="H65" s="60" t="s">
        <v>45</v>
      </c>
      <c r="I65" s="62" t="n">
        <f aca="false">E11</f>
        <v>0.276699207360323</v>
      </c>
      <c r="K65" s="65" t="s">
        <v>46</v>
      </c>
    </row>
    <row r="66" customFormat="false" ht="15" hidden="false" customHeight="false" outlineLevel="0" collapsed="false">
      <c r="H66" s="60" t="s">
        <v>47</v>
      </c>
      <c r="I66" s="64" t="n">
        <f aca="false">$H$6-$H$8</f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D66"/>
  <sheetViews>
    <sheetView showFormulas="false" showGridLines="true" showRowColHeaders="true" showZeros="true" rightToLeft="false" tabSelected="true" showOutlineSymbols="true" defaultGridColor="true" view="normal" topLeftCell="A8" colorId="64" zoomScale="120" zoomScaleNormal="120" zoomScalePageLayoutView="100" workbookViewId="0">
      <selection pane="topLeft" activeCell="Q20" activeCellId="0" sqref="Q20"/>
    </sheetView>
  </sheetViews>
  <sheetFormatPr defaultColWidth="11.4453125" defaultRowHeight="14.25" zeroHeight="false" outlineLevelRow="0" outlineLevelCol="0"/>
  <cols>
    <col collapsed="false" customWidth="true" hidden="true" outlineLevel="0" max="12" min="1" style="0" width="11.53"/>
    <col collapsed="false" customWidth="true" hidden="false" outlineLevel="0" max="17" min="17" style="0" width="15.44"/>
    <col collapsed="false" customWidth="true" hidden="false" outlineLevel="0" max="18" min="18" style="0" width="28.41"/>
  </cols>
  <sheetData>
    <row r="3" customFormat="false" ht="45" hidden="false" customHeight="false" outlineLevel="0" collapsed="false">
      <c r="B3" s="1"/>
    </row>
    <row r="4" customFormat="false" ht="15" hidden="false" customHeight="false" outlineLevel="0" collapsed="false">
      <c r="B4" s="2" t="s">
        <v>0</v>
      </c>
      <c r="C4" s="3"/>
      <c r="D4" s="3"/>
      <c r="E4" s="4"/>
      <c r="F4" s="4"/>
      <c r="G4" s="4"/>
      <c r="H4" s="4"/>
      <c r="I4" s="4"/>
      <c r="J4" s="4"/>
      <c r="K4" s="4"/>
      <c r="L4" s="5"/>
      <c r="M4" s="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5"/>
    </row>
    <row r="5" customFormat="false" ht="15.75" hidden="false" customHeight="false" outlineLevel="0" collapsed="false">
      <c r="B5" s="7" t="s">
        <v>1</v>
      </c>
      <c r="C5" s="8"/>
      <c r="D5" s="8"/>
      <c r="G5" s="9" t="s">
        <v>2</v>
      </c>
      <c r="K5" s="9" t="s">
        <v>3</v>
      </c>
      <c r="L5" s="10"/>
      <c r="M5" s="7" t="s">
        <v>4</v>
      </c>
      <c r="W5" s="8"/>
      <c r="X5" s="9" t="s">
        <v>2</v>
      </c>
      <c r="Z5" s="9" t="s">
        <v>5</v>
      </c>
      <c r="AB5" s="10"/>
    </row>
    <row r="6" customFormat="false" ht="16.5" hidden="false" customHeight="false" outlineLevel="0" collapsed="false">
      <c r="B6" s="11" t="s">
        <v>48</v>
      </c>
      <c r="C6" s="12" t="s">
        <v>49</v>
      </c>
      <c r="D6" s="13"/>
      <c r="E6" s="14"/>
      <c r="F6" s="14"/>
      <c r="G6" s="15" t="n">
        <f aca="false">COUNT(F21:F36)</f>
        <v>12</v>
      </c>
      <c r="L6" s="10"/>
      <c r="M6" s="16"/>
      <c r="N6" s="12" t="s">
        <v>8</v>
      </c>
      <c r="O6" s="14"/>
      <c r="P6" s="12"/>
      <c r="Q6" s="12"/>
      <c r="R6" s="12"/>
      <c r="W6" s="8"/>
      <c r="X6" s="15" t="n">
        <v>10</v>
      </c>
      <c r="AB6" s="10"/>
    </row>
    <row r="7" customFormat="false" ht="16.5" hidden="false" customHeight="false" outlineLevel="0" collapsed="false">
      <c r="B7" s="11" t="s">
        <v>50</v>
      </c>
      <c r="C7" s="12" t="s">
        <v>51</v>
      </c>
      <c r="D7" s="13"/>
      <c r="E7" s="14"/>
      <c r="F7" s="14"/>
      <c r="G7" s="9" t="s">
        <v>11</v>
      </c>
      <c r="L7" s="10"/>
      <c r="M7" s="16"/>
      <c r="N7" s="12" t="s">
        <v>51</v>
      </c>
      <c r="X7" s="9" t="s">
        <v>11</v>
      </c>
      <c r="AB7" s="10"/>
    </row>
    <row r="8" customFormat="false" ht="15" hidden="false" customHeight="false" outlineLevel="0" collapsed="false">
      <c r="B8" s="16"/>
      <c r="E8" s="17"/>
      <c r="F8" s="17"/>
      <c r="G8" s="15" t="n">
        <f aca="false">COUNT(C10:C13)</f>
        <v>4</v>
      </c>
      <c r="L8" s="10"/>
      <c r="M8" s="16"/>
      <c r="X8" s="15" t="n">
        <v>1</v>
      </c>
      <c r="AB8" s="10"/>
    </row>
    <row r="9" customFormat="false" ht="15" hidden="false" customHeight="false" outlineLevel="0" collapsed="false">
      <c r="B9" s="18" t="s">
        <v>12</v>
      </c>
      <c r="G9" s="19" t="s">
        <v>13</v>
      </c>
      <c r="L9" s="10"/>
      <c r="M9" s="18" t="s">
        <v>12</v>
      </c>
      <c r="P9" s="8"/>
      <c r="Q9" s="8"/>
      <c r="X9" s="19" t="s">
        <v>13</v>
      </c>
      <c r="AB9" s="10"/>
    </row>
    <row r="10" customFormat="false" ht="15" hidden="false" customHeight="false" outlineLevel="0" collapsed="false">
      <c r="B10" s="20" t="s">
        <v>14</v>
      </c>
      <c r="C10" s="24" t="n">
        <v>0.972171369313439</v>
      </c>
      <c r="D10" s="22" t="s">
        <v>15</v>
      </c>
      <c r="G10" s="23" t="n">
        <f aca="false">D11/(G6-G8)</f>
        <v>1.0090809276892</v>
      </c>
      <c r="L10" s="10"/>
      <c r="M10" s="20" t="s">
        <v>16</v>
      </c>
      <c r="N10" s="24" t="n">
        <v>0</v>
      </c>
      <c r="O10" s="22" t="s">
        <v>15</v>
      </c>
      <c r="X10" s="23" t="n">
        <f aca="false">O11/(X6-X8)</f>
        <v>0.151002507885101</v>
      </c>
      <c r="AB10" s="10"/>
    </row>
    <row r="11" customFormat="false" ht="16.5" hidden="false" customHeight="false" outlineLevel="0" collapsed="false">
      <c r="B11" s="25" t="s">
        <v>17</v>
      </c>
      <c r="C11" s="66" t="n">
        <v>5.19587650623435</v>
      </c>
      <c r="D11" s="27" t="n">
        <f aca="false">SUM(F21:F57)</f>
        <v>8.07264742151359</v>
      </c>
      <c r="G11" s="28"/>
      <c r="L11" s="10"/>
      <c r="M11" s="25" t="s">
        <v>17</v>
      </c>
      <c r="N11" s="66" t="n">
        <v>5.00446510899184</v>
      </c>
      <c r="O11" s="27" t="n">
        <f aca="false">SUM(S21:S36)</f>
        <v>1.35902257096591</v>
      </c>
      <c r="X11" s="28"/>
      <c r="AB11" s="10"/>
    </row>
    <row r="12" customFormat="false" ht="16.5" hidden="false" customHeight="false" outlineLevel="0" collapsed="false">
      <c r="B12" s="25" t="s">
        <v>18</v>
      </c>
      <c r="C12" s="66" t="n">
        <v>0.364136545809149</v>
      </c>
      <c r="D12" s="22" t="s">
        <v>19</v>
      </c>
      <c r="G12" s="19" t="s">
        <v>20</v>
      </c>
      <c r="I12" s="9" t="s">
        <v>21</v>
      </c>
      <c r="L12" s="10"/>
      <c r="M12" s="25" t="s">
        <v>22</v>
      </c>
      <c r="N12" s="66" t="n">
        <v>0.378272066896853</v>
      </c>
      <c r="O12" s="22" t="s">
        <v>19</v>
      </c>
      <c r="X12" s="19" t="s">
        <v>20</v>
      </c>
      <c r="Z12" s="9" t="s">
        <v>21</v>
      </c>
      <c r="AB12" s="10"/>
    </row>
    <row r="13" customFormat="false" ht="16.5" hidden="false" customHeight="false" outlineLevel="0" collapsed="false">
      <c r="B13" s="29" t="s">
        <v>23</v>
      </c>
      <c r="C13" s="67" t="n">
        <v>8.06445389424692</v>
      </c>
      <c r="D13" s="31" t="n">
        <f aca="false">SQRT(D11/(COUNT(F21:F57)-G8))</f>
        <v>1.00453020247736</v>
      </c>
      <c r="G13" s="23" t="n">
        <f aca="false">1-D11/I13</f>
        <v>0.431599693416122</v>
      </c>
      <c r="I13" s="23" t="n">
        <f aca="false">D58</f>
        <v>14.2023980775639</v>
      </c>
      <c r="L13" s="10"/>
      <c r="M13" s="29" t="s">
        <v>23</v>
      </c>
      <c r="N13" s="67" t="n">
        <v>8.32347910579133</v>
      </c>
      <c r="O13" s="32" t="n">
        <f aca="false">SQRT(O11/(COUNT(R21:R45)-X8))</f>
        <v>0.301000838422521</v>
      </c>
      <c r="X13" s="23" t="n">
        <f aca="false">1-O11/Z13</f>
        <v>0.91709408294921</v>
      </c>
      <c r="Z13" s="23" t="n">
        <f aca="false">O58</f>
        <v>16.392347124432</v>
      </c>
      <c r="AB13" s="10"/>
    </row>
    <row r="14" customFormat="false" ht="15" hidden="false" customHeight="false" outlineLevel="0" collapsed="false">
      <c r="B14" s="16" t="s">
        <v>24</v>
      </c>
      <c r="C14" s="68" t="n">
        <v>1.42200555937544</v>
      </c>
      <c r="E14" s="33"/>
      <c r="F14" s="34"/>
      <c r="G14" s="19" t="s">
        <v>25</v>
      </c>
      <c r="L14" s="10"/>
      <c r="M14" s="16" t="s">
        <v>52</v>
      </c>
      <c r="N14" s="68" t="n">
        <v>1.03257999828886</v>
      </c>
      <c r="X14" s="19" t="s">
        <v>25</v>
      </c>
      <c r="AB14" s="10"/>
    </row>
    <row r="15" customFormat="false" ht="15" hidden="false" customHeight="false" outlineLevel="0" collapsed="false">
      <c r="B15" s="16" t="s">
        <v>53</v>
      </c>
      <c r="C15" s="68" t="n">
        <v>17.211582999633</v>
      </c>
      <c r="E15" s="33"/>
      <c r="F15" s="34"/>
      <c r="G15" s="23" t="n">
        <f aca="false">(((G6-1)*G13)-(G8+1))/(G6-G8)</f>
        <v>-0.0315504215528317</v>
      </c>
      <c r="L15" s="10"/>
      <c r="M15" s="16" t="s">
        <v>53</v>
      </c>
      <c r="N15" s="69" t="n">
        <f aca="false">INDEX(M21:M30,MATCH(0,Q21:Q30,1))</f>
        <v>12.1666666667443</v>
      </c>
      <c r="X15" s="23" t="n">
        <f aca="false">(((X6-1)*X13)-(X8+1))/(X6-X8)</f>
        <v>0.694871860726988</v>
      </c>
      <c r="AB15" s="10"/>
    </row>
    <row r="16" customFormat="false" ht="15.75" hidden="false" customHeight="false" outlineLevel="0" collapsed="false">
      <c r="B16" s="16" t="s">
        <v>54</v>
      </c>
      <c r="C16" s="68" t="n">
        <v>0</v>
      </c>
      <c r="E16" s="33"/>
      <c r="F16" s="34"/>
      <c r="H16" s="35" t="s">
        <v>26</v>
      </c>
      <c r="I16" s="36"/>
      <c r="L16" s="10"/>
      <c r="M16" s="16" t="s">
        <v>54</v>
      </c>
      <c r="N16" s="69" t="n">
        <v>0</v>
      </c>
      <c r="Y16" s="35" t="s">
        <v>26</v>
      </c>
      <c r="Z16" s="36"/>
      <c r="AB16" s="10"/>
    </row>
    <row r="17" customFormat="false" ht="15" hidden="false" customHeight="false" outlineLevel="0" collapsed="false">
      <c r="B17" s="16"/>
      <c r="E17" s="33"/>
      <c r="F17" s="34"/>
      <c r="H17" s="23" t="n">
        <f aca="false">1-(1-G13)*((G6-1)/(G6-(G8-1)-1))</f>
        <v>0.218449578447168</v>
      </c>
      <c r="L17" s="10"/>
      <c r="M17" s="16"/>
      <c r="Y17" s="23" t="n">
        <f aca="false">1-(1-X13)*((X6-1)/(X6-(X8-1)-1))</f>
        <v>0.91709408294921</v>
      </c>
      <c r="AB17" s="10"/>
    </row>
    <row r="18" customFormat="false" ht="14.25" hidden="false" customHeight="false" outlineLevel="0" collapsed="false">
      <c r="B18" s="16"/>
      <c r="E18" s="33"/>
      <c r="F18" s="34"/>
      <c r="G18" s="17"/>
      <c r="H18" s="8"/>
      <c r="L18" s="10"/>
      <c r="M18" s="16"/>
      <c r="AB18" s="10"/>
    </row>
    <row r="19" customFormat="false" ht="14.25" hidden="false" customHeight="false" outlineLevel="0" collapsed="false">
      <c r="B19" s="18" t="s">
        <v>27</v>
      </c>
      <c r="E19" s="37" t="s">
        <v>28</v>
      </c>
      <c r="H19" s="37" t="s">
        <v>29</v>
      </c>
      <c r="L19" s="10"/>
      <c r="M19" s="18" t="s">
        <v>27</v>
      </c>
      <c r="O19" s="37" t="s">
        <v>55</v>
      </c>
      <c r="Q19" s="37" t="s">
        <v>56</v>
      </c>
      <c r="R19" s="37" t="s">
        <v>57</v>
      </c>
      <c r="W19" s="37" t="s">
        <v>29</v>
      </c>
      <c r="AB19" s="10"/>
    </row>
    <row r="20" customFormat="false" ht="16.5" hidden="false" customHeight="false" outlineLevel="0" collapsed="false">
      <c r="A20" s="0" t="s">
        <v>30</v>
      </c>
      <c r="B20" s="38" t="s">
        <v>32</v>
      </c>
      <c r="C20" s="39" t="s">
        <v>33</v>
      </c>
      <c r="D20" s="40" t="s">
        <v>34</v>
      </c>
      <c r="E20" s="40" t="s">
        <v>33</v>
      </c>
      <c r="F20" s="40" t="s">
        <v>35</v>
      </c>
      <c r="G20" s="70" t="s">
        <v>58</v>
      </c>
      <c r="L20" s="10"/>
      <c r="M20" s="41" t="s">
        <v>36</v>
      </c>
      <c r="N20" s="39" t="s">
        <v>59</v>
      </c>
      <c r="O20" s="40" t="s">
        <v>34</v>
      </c>
      <c r="P20" s="40" t="s">
        <v>33</v>
      </c>
      <c r="Q20" s="71" t="s">
        <v>60</v>
      </c>
      <c r="R20" s="40" t="s">
        <v>61</v>
      </c>
      <c r="S20" s="40" t="s">
        <v>35</v>
      </c>
      <c r="U20" s="70"/>
      <c r="V20" s="70"/>
      <c r="AB20" s="10"/>
      <c r="AC20" s="72"/>
      <c r="AD20" s="72"/>
    </row>
    <row r="21" customFormat="false" ht="14.25" hidden="false" customHeight="false" outlineLevel="0" collapsed="false">
      <c r="A21" s="0" t="n">
        <f aca="false">Q21/C21</f>
        <v>0</v>
      </c>
      <c r="B21" s="43" t="n">
        <v>1</v>
      </c>
      <c r="C21" s="44" t="n">
        <v>5.12710479836481</v>
      </c>
      <c r="D21" s="45" t="n">
        <f aca="false">(C21-AVERAGE(C$21:C$57))^2</f>
        <v>4.31990658629041</v>
      </c>
      <c r="E21" s="46" t="n">
        <f aca="false">IF(B21&lt;$C$10,$C$11,LOG((10^$C$13)/(1+((10^$C$13/10^$C$11)-1)*EXP(-$C$12*(B21-$C$10)))))</f>
        <v>5.20027140890088</v>
      </c>
      <c r="F21" s="28" t="n">
        <f aca="false">(Q21-G21)^2</f>
        <v>0</v>
      </c>
      <c r="G21" s="0" t="n">
        <f aca="false">IF(B21&lt;$C$15,$C$16,$C$14*(LOG((10^$C$13)/(1+((10^$C$13/10^$C$11)-1)*EXP(-$C$12*(B21-$C$15))))-$C$11))</f>
        <v>0</v>
      </c>
      <c r="L21" s="10"/>
      <c r="M21" s="43" t="n">
        <v>1</v>
      </c>
      <c r="N21" s="44" t="n">
        <v>5.15836249209525</v>
      </c>
      <c r="O21" s="45" t="n">
        <v>5.444894421619</v>
      </c>
      <c r="P21" s="46" t="n">
        <v>5.16865080497505</v>
      </c>
      <c r="Q21" s="28" t="n">
        <v>0</v>
      </c>
      <c r="R21" s="73" t="n">
        <f aca="false">IF(M21&lt;$N$15,$N$16,$N$14*(LOG((10^$N$13)/(1+((10^$N$13/10^$N$11)-1)*EXP(-$N$12*(M21-$N$15))))-$N$11))</f>
        <v>0</v>
      </c>
      <c r="S21" s="28" t="n">
        <f aca="false">(Q21-R21)^2</f>
        <v>0</v>
      </c>
      <c r="U21" s="74"/>
      <c r="V21" s="74"/>
      <c r="AB21" s="10"/>
      <c r="AC21" s="72"/>
    </row>
    <row r="22" customFormat="false" ht="14.25" hidden="false" customHeight="false" outlineLevel="0" collapsed="false">
      <c r="A22" s="0" t="n">
        <f aca="false">Q22/C22</f>
        <v>0</v>
      </c>
      <c r="B22" s="48" t="n">
        <v>3.25</v>
      </c>
      <c r="C22" s="49" t="n">
        <v>5.62940959910272</v>
      </c>
      <c r="D22" s="45" t="n">
        <f aca="false">(C22-AVERAGE(C$21:C$57))^2</f>
        <v>2.48419742885587</v>
      </c>
      <c r="E22" s="46" t="n">
        <f aca="false">IF(B22&lt;$C$10,$C$11,LOG((10^$C$13)/(1+((10^$C$13/10^$C$11)-1)*EXP(-$C$12*(B22-$C$10)))))</f>
        <v>5.55533924725384</v>
      </c>
      <c r="F22" s="28" t="n">
        <f aca="false">(Q22-G22)^2</f>
        <v>0</v>
      </c>
      <c r="G22" s="73" t="n">
        <f aca="false">IF(B22&lt;$C$15,$C$16,$C$14*(LOG((10^$C$13)/(1+((10^$C$13/10^$C$11)-1)*EXP(-$C$12*(B22-$C$15))))-$C$11))</f>
        <v>0</v>
      </c>
      <c r="L22" s="10"/>
      <c r="M22" s="48" t="n">
        <v>3.00000000005821</v>
      </c>
      <c r="N22" s="49" t="n">
        <v>5.44715803134222</v>
      </c>
      <c r="O22" s="45" t="n">
        <v>4.18052907631532</v>
      </c>
      <c r="P22" s="46" t="n">
        <v>5.49687002499576</v>
      </c>
      <c r="Q22" s="28" t="n">
        <v>0</v>
      </c>
      <c r="R22" s="73" t="n">
        <f aca="false">IF(M22&lt;$N$15,$N$16,$N$14*(LOG((10^$N$13)/(1+((10^$N$13/10^$N$11)-1)*EXP(-$N$12*(M22-$N$15))))-$N$11))</f>
        <v>0</v>
      </c>
      <c r="S22" s="28" t="n">
        <f aca="false">(Q22-R22)^2</f>
        <v>0</v>
      </c>
      <c r="AB22" s="10"/>
      <c r="AC22" s="72"/>
    </row>
    <row r="23" customFormat="false" ht="14.25" hidden="false" customHeight="false" outlineLevel="0" collapsed="false">
      <c r="A23" s="0" t="n">
        <f aca="false">Q23/C23</f>
        <v>0</v>
      </c>
      <c r="B23" s="48" t="n">
        <v>6.00000000005821</v>
      </c>
      <c r="C23" s="49" t="n">
        <v>5.95424250943933</v>
      </c>
      <c r="D23" s="45" t="n">
        <f aca="false">(C23-AVERAGE(C$21:C$57))^2</f>
        <v>1.56575365714598</v>
      </c>
      <c r="E23" s="46" t="n">
        <f aca="false">IF(B23&lt;$C$10,$C$11,LOG((10^$C$13)/(1+((10^$C$13/10^$C$11)-1)*EXP(-$C$12*(B23-$C$10)))))</f>
        <v>5.98792141344128</v>
      </c>
      <c r="F23" s="28" t="n">
        <f aca="false">(Q23-G23)^2</f>
        <v>0</v>
      </c>
      <c r="G23" s="73" t="n">
        <f aca="false">IF(B23&lt;$C$15,$C$16,$C$14*(LOG((10^$C$13)/(1+((10^$C$13/10^$C$11)-1)*EXP(-$C$12*(B23-$C$15))))-$C$11))</f>
        <v>0</v>
      </c>
      <c r="L23" s="10"/>
      <c r="M23" s="48" t="n">
        <v>6.00000000005821</v>
      </c>
      <c r="N23" s="49" t="n">
        <v>6.06445798922692</v>
      </c>
      <c r="O23" s="45" t="n">
        <v>2.03728308374549</v>
      </c>
      <c r="P23" s="46" t="n">
        <v>5.98835017242875</v>
      </c>
      <c r="Q23" s="28" t="n">
        <v>0</v>
      </c>
      <c r="R23" s="73" t="n">
        <f aca="false">IF(M23&lt;$N$15,$N$16,$N$14*(LOG((10^$N$13)/(1+((10^$N$13/10^$N$11)-1)*EXP(-$N$12*(M23-$N$15))))-$N$11))</f>
        <v>0</v>
      </c>
      <c r="S23" s="28" t="n">
        <f aca="false">(Q23-R23)^2</f>
        <v>0</v>
      </c>
      <c r="AB23" s="10"/>
      <c r="AC23" s="72"/>
    </row>
    <row r="24" customFormat="false" ht="14.25" hidden="false" customHeight="false" outlineLevel="0" collapsed="false">
      <c r="A24" s="0" t="n">
        <f aca="false">Q24/C24</f>
        <v>0</v>
      </c>
      <c r="B24" s="48" t="n">
        <v>9.00000000005821</v>
      </c>
      <c r="C24" s="49" t="n">
        <v>6.52374646681157</v>
      </c>
      <c r="D24" s="45" t="n">
        <f aca="false">(C24-AVERAGE(C$21:C$57))^2</f>
        <v>0.464846915582319</v>
      </c>
      <c r="E24" s="46" t="n">
        <f aca="false">IF(B24&lt;$C$10,$C$11,LOG((10^$C$13)/(1+((10^$C$13/10^$C$11)-1)*EXP(-$C$12*(B24-$C$10)))))</f>
        <v>6.45519319125769</v>
      </c>
      <c r="F24" s="28" t="n">
        <f aca="false">(Q24-G24)^2</f>
        <v>0</v>
      </c>
      <c r="G24" s="73" t="n">
        <f aca="false">IF(B24&lt;$C$15,$C$16,$C$14*(LOG((10^$C$13)/(1+((10^$C$13/10^$C$11)-1)*EXP(-$C$12*(B24-$C$15))))-$C$11))</f>
        <v>0</v>
      </c>
      <c r="L24" s="10"/>
      <c r="M24" s="48" t="n">
        <v>9.00000000005821</v>
      </c>
      <c r="N24" s="49" t="n">
        <v>6.47129171105894</v>
      </c>
      <c r="O24" s="45" t="n">
        <v>1.04142134409397</v>
      </c>
      <c r="P24" s="46" t="n">
        <v>6.47697809008955</v>
      </c>
      <c r="Q24" s="28" t="n">
        <v>0</v>
      </c>
      <c r="R24" s="73" t="n">
        <f aca="false">IF(M24&lt;$N$15,$N$16,$N$14*(LOG((10^$N$13)/(1+((10^$N$13/10^$N$11)-1)*EXP(-$N$12*(M24-$N$15))))-$N$11))</f>
        <v>0</v>
      </c>
      <c r="S24" s="28" t="n">
        <f aca="false">(Q24-R24)^2</f>
        <v>0</v>
      </c>
      <c r="AB24" s="10"/>
      <c r="AC24" s="72"/>
      <c r="AD24" s="72"/>
    </row>
    <row r="25" customFormat="false" ht="14.25" hidden="false" customHeight="false" outlineLevel="0" collapsed="false">
      <c r="A25" s="0" t="n">
        <f aca="false">Q25/C25</f>
        <v>0</v>
      </c>
      <c r="B25" s="48" t="n">
        <v>12.0000000000582</v>
      </c>
      <c r="C25" s="49" t="n">
        <v>6.88081359228079</v>
      </c>
      <c r="D25" s="45" t="n">
        <f aca="false">(C25-AVERAGE(C$21:C$57))^2</f>
        <v>0.105449380139838</v>
      </c>
      <c r="E25" s="46" t="n">
        <f aca="false">IF(B25&lt;$C$10,$C$11,LOG((10^$C$13)/(1+((10^$C$13/10^$C$11)-1)*EXP(-$C$12*(B25-$C$10)))))</f>
        <v>6.90896041887477</v>
      </c>
      <c r="F25" s="28" t="n">
        <f aca="false">(Q25-G25)^2</f>
        <v>0</v>
      </c>
      <c r="G25" s="73" t="n">
        <f aca="false">IF(B25&lt;$C$15,$C$16,$C$14*(LOG((10^$C$13)/(1+((10^$C$13/10^$C$11)-1)*EXP(-$C$12*(B25-$C$15))))-$C$11))</f>
        <v>0</v>
      </c>
      <c r="L25" s="10"/>
      <c r="M25" s="48" t="n">
        <v>12.1666666667443</v>
      </c>
      <c r="N25" s="49" t="n">
        <v>6.86923171973098</v>
      </c>
      <c r="O25" s="45" t="n">
        <v>0.387581610258666</v>
      </c>
      <c r="P25" s="46" t="n">
        <v>6.98312906827592</v>
      </c>
      <c r="Q25" s="28" t="n">
        <v>0</v>
      </c>
      <c r="R25" s="73" t="n">
        <f aca="false">IF(M25&lt;$N$15,$N$16,$N$14*(LOG((10^$N$13)/(1+((10^$N$13/10^$N$11)-1)*EXP(-$N$12*(M25-$N$15))))-$N$11))</f>
        <v>0</v>
      </c>
      <c r="S25" s="28" t="n">
        <f aca="false">(Q25-R25)^2</f>
        <v>0</v>
      </c>
      <c r="AB25" s="10"/>
      <c r="AC25" s="72"/>
      <c r="AD25" s="72"/>
    </row>
    <row r="26" customFormat="false" ht="14.25" hidden="false" customHeight="false" outlineLevel="0" collapsed="false">
      <c r="A26" s="0" t="n">
        <f aca="false">Q26/C26</f>
        <v>0.0492978546474912</v>
      </c>
      <c r="B26" s="48" t="n">
        <v>24.4166666666861</v>
      </c>
      <c r="C26" s="49" t="n">
        <v>8.11394335230684</v>
      </c>
      <c r="D26" s="45" t="n">
        <f aca="false">(C26-AVERAGE(C$21:C$57))^2</f>
        <v>0.825190663243023</v>
      </c>
      <c r="E26" s="46" t="n">
        <f aca="false">IF(B26&lt;$C$10,$C$11,LOG((10^$C$13)/(1+((10^$C$13/10^$C$11)-1)*EXP(-$C$12*(B26-$C$10)))))</f>
        <v>8.00576856091372</v>
      </c>
      <c r="F26" s="28" t="n">
        <f aca="false">(Q26-G26)^2</f>
        <v>1.46332711572167</v>
      </c>
      <c r="G26" s="0" t="n">
        <f aca="false">IF(B26&lt;$C$15,$C$16,$C$14*(LOG((10^$C$13)/(1+((10^$C$13/10^$C$11)-1)*EXP(-$C$12*(B26-$C$15))))-$C$11))</f>
        <v>1.60968058417157</v>
      </c>
      <c r="L26" s="10"/>
      <c r="M26" s="48" t="n">
        <v>15</v>
      </c>
      <c r="N26" s="49" t="n">
        <v>7.77085201164214</v>
      </c>
      <c r="O26" s="45" t="n">
        <v>0.0778743521770518</v>
      </c>
      <c r="P26" s="46" t="n">
        <v>7.41207803969168</v>
      </c>
      <c r="Q26" s="28" t="n">
        <v>0.4</v>
      </c>
      <c r="R26" s="73" t="n">
        <f aca="false">IF(M26&lt;$N$15,$N$16,$N$14*(LOG((10^$N$13)/(1+((10^$N$13/10^$N$11)-1)*EXP(-$N$12*(M26-$N$15))))-$N$11))</f>
        <v>0.480216020117606</v>
      </c>
      <c r="S26" s="28" t="n">
        <f aca="false">(Q26-R26)^2</f>
        <v>0.00643460988350819</v>
      </c>
      <c r="AB26" s="10"/>
      <c r="AC26" s="72"/>
    </row>
    <row r="27" customFormat="false" ht="14.25" hidden="false" customHeight="false" outlineLevel="0" collapsed="false">
      <c r="A27" s="0" t="n">
        <f aca="false">Q27/C27</f>
        <v>0.211087820596112</v>
      </c>
      <c r="B27" s="48" t="n">
        <v>27.25</v>
      </c>
      <c r="C27" s="49" t="n">
        <v>7.57978359661681</v>
      </c>
      <c r="D27" s="45" t="n">
        <f aca="false">(C27-AVERAGE(C$21:C$57))^2</f>
        <v>0.14005580299498</v>
      </c>
      <c r="E27" s="46" t="n">
        <f aca="false">IF(B27&lt;$C$10,$C$11,LOG((10^$C$13)/(1+((10^$C$13/10^$C$11)-1)*EXP(-$C$12*(B27-$C$10)))))</f>
        <v>8.04261812058601</v>
      </c>
      <c r="F27" s="28" t="n">
        <f aca="false">(Q27-G27)^2</f>
        <v>0.392773696980176</v>
      </c>
      <c r="G27" s="0" t="n">
        <f aca="false">IF(B27&lt;$C$15,$C$16,$C$14*(LOG((10^$C$13)/(1+((10^$C$13/10^$C$11)-1)*EXP(-$C$12*(B27-$C$15))))-$C$11))</f>
        <v>2.22671660021111</v>
      </c>
      <c r="L27" s="10"/>
      <c r="M27" s="48" t="n">
        <v>18</v>
      </c>
      <c r="N27" s="49" t="n">
        <v>7.37657695705651</v>
      </c>
      <c r="O27" s="45" t="n">
        <v>0.0132745630636302</v>
      </c>
      <c r="P27" s="46" t="n">
        <v>7.80495729827029</v>
      </c>
      <c r="Q27" s="28" t="n">
        <v>1.6</v>
      </c>
      <c r="R27" s="73" t="n">
        <f aca="false">IF(M27&lt;$N$15,$N$16,$N$14*(LOG((10^$N$13)/(1+((10^$N$13/10^$N$11)-1)*EXP(-$N$12*(M27-$N$15))))-$N$11))</f>
        <v>0.987794413965873</v>
      </c>
      <c r="S27" s="28" t="n">
        <f aca="false">(Q27-R27)^2</f>
        <v>0.374795679571389</v>
      </c>
      <c r="AB27" s="10"/>
      <c r="AC27" s="72"/>
    </row>
    <row r="28" customFormat="false" ht="14.25" hidden="false" customHeight="false" outlineLevel="0" collapsed="false">
      <c r="A28" s="0" t="n">
        <f aca="false">Q28/C28</f>
        <v>0.197691416837121</v>
      </c>
      <c r="B28" s="48" t="n">
        <v>30.0000000000582</v>
      </c>
      <c r="C28" s="49" t="n">
        <v>8.09342168516224</v>
      </c>
      <c r="D28" s="45" t="n">
        <f aca="false">(C28-AVERAGE(C$21:C$57))^2</f>
        <v>0.788328034864742</v>
      </c>
      <c r="E28" s="46" t="n">
        <f aca="false">IF(B28&lt;$C$10,$C$11,LOG((10^$C$13)/(1+((10^$C$13/10^$C$11)-1)*EXP(-$C$12*(B28-$C$10)))))</f>
        <v>8.05630386861232</v>
      </c>
      <c r="F28" s="28" t="n">
        <f aca="false">(Q28-G28)^2</f>
        <v>1.42638361946049</v>
      </c>
      <c r="G28" s="0" t="n">
        <f aca="false">IF(B28&lt;$C$15,$C$16,$C$14*(LOG((10^$C$13)/(1+((10^$C$13/10^$C$11)-1)*EXP(-$C$12*(B28-$C$15))))-$C$11))</f>
        <v>2.79431303244187</v>
      </c>
      <c r="L28" s="10"/>
      <c r="M28" s="48" t="n">
        <v>21</v>
      </c>
      <c r="N28" s="49" t="n">
        <v>8.27875360095283</v>
      </c>
      <c r="O28" s="45" t="n">
        <v>0.61930817243175</v>
      </c>
      <c r="P28" s="46" t="n">
        <v>8.08307315135923</v>
      </c>
      <c r="Q28" s="28" t="n">
        <v>1.6</v>
      </c>
      <c r="R28" s="73" t="n">
        <f aca="false">IF(M28&lt;$N$15,$N$16,$N$14*(LOG((10^$N$13)/(1+((10^$N$13/10^$N$11)-1)*EXP(-$N$12*(M28-$N$15))))-$N$11))</f>
        <v>1.49260548691834</v>
      </c>
      <c r="S28" s="28" t="n">
        <f aca="false">(Q28-R28)^2</f>
        <v>0.011533581440046</v>
      </c>
      <c r="AB28" s="10"/>
      <c r="AC28" s="72"/>
    </row>
    <row r="29" customFormat="false" ht="14.25" hidden="false" customHeight="false" outlineLevel="0" collapsed="false">
      <c r="A29" s="0" t="n">
        <f aca="false">Q29/C29</f>
        <v>0.197691416837121</v>
      </c>
      <c r="B29" s="48" t="n">
        <v>33.0000000000582</v>
      </c>
      <c r="C29" s="49" t="n">
        <v>8.09342168516224</v>
      </c>
      <c r="D29" s="45" t="n">
        <f aca="false">(C29-AVERAGE(C$21:C$57))^2</f>
        <v>0.788328034864742</v>
      </c>
      <c r="E29" s="46" t="n">
        <f aca="false">IF(B29&lt;$C$10,$C$11,LOG((10^$C$13)/(1+((10^$C$13/10^$C$11)-1)*EXP(-$C$12*(B29-$C$10)))))</f>
        <v>8.06170323478475</v>
      </c>
      <c r="F29" s="28" t="n">
        <f aca="false">(Q29-G29)^2</f>
        <v>3.00126126686459</v>
      </c>
      <c r="G29" s="0" t="n">
        <f aca="false">IF(B29&lt;$C$15,$C$16,$C$14*(LOG((10^$C$13)/(1+((10^$C$13/10^$C$11)-1)*EXP(-$C$12*(B29-$C$15))))-$C$11))</f>
        <v>3.33241486569026</v>
      </c>
      <c r="L29" s="10"/>
      <c r="M29" s="48" t="n">
        <v>24.1666666667443</v>
      </c>
      <c r="N29" s="49" t="n">
        <v>8.22530928172586</v>
      </c>
      <c r="O29" s="45" t="n">
        <v>0.538047240061967</v>
      </c>
      <c r="P29" s="46" t="n">
        <v>8.23598603798988</v>
      </c>
      <c r="Q29" s="28" t="n">
        <v>1.6</v>
      </c>
      <c r="R29" s="73" t="n">
        <f aca="false">IF(M29&lt;$N$15,$N$16,$N$14*(LOG((10^$N$13)/(1+((10^$N$13/10^$N$11)-1)*EXP(-$N$12*(M29-$N$15))))-$N$11))</f>
        <v>2.01610967374353</v>
      </c>
      <c r="S29" s="28" t="n">
        <f aca="false">(Q29-R29)^2</f>
        <v>0.173147260582946</v>
      </c>
      <c r="AB29" s="10"/>
      <c r="AC29" s="72"/>
      <c r="AD29" s="72"/>
    </row>
    <row r="30" customFormat="false" ht="14.25" hidden="false" customHeight="false" outlineLevel="0" collapsed="false">
      <c r="A30" s="0" t="n">
        <f aca="false">Q30/C30</f>
        <v>0.395043656605163</v>
      </c>
      <c r="B30" s="48" t="n">
        <v>35.8333333333721</v>
      </c>
      <c r="C30" s="49" t="n">
        <v>8.10037054511756</v>
      </c>
      <c r="D30" s="45" t="n">
        <f aca="false">(C30-AVERAGE(C$21:C$57))^2</f>
        <v>0.800715806693948</v>
      </c>
      <c r="E30" s="46" t="n">
        <f aca="false">IF(B30&lt;$C$10,$C$11,LOG((10^$C$13)/(1+((10^$C$13/10^$C$11)-1)*EXP(-$C$12*(B30-$C$10)))))</f>
        <v>8.06347157820443</v>
      </c>
      <c r="F30" s="28" t="n">
        <f aca="false">(Q30-G30)^2</f>
        <v>0.25333715285616</v>
      </c>
      <c r="G30" s="0" t="n">
        <f aca="false">IF(B30&lt;$C$15,$C$16,$C$14*(LOG((10^$C$13)/(1+((10^$C$13/10^$C$11)-1)*EXP(-$C$12*(B30-$C$15))))-$C$11))</f>
        <v>3.70332608998159</v>
      </c>
      <c r="L30" s="10"/>
      <c r="M30" s="48" t="n">
        <v>27.0833333333139</v>
      </c>
      <c r="N30" s="49" t="n">
        <v>8.3096301674259</v>
      </c>
      <c r="O30" s="45" t="n">
        <v>0.668858863895839</v>
      </c>
      <c r="P30" s="46" t="n">
        <v>8.29245524772835</v>
      </c>
      <c r="Q30" s="28" t="n">
        <v>3.2</v>
      </c>
      <c r="R30" s="73" t="n">
        <f aca="false">IF(M30&lt;$N$15,$N$16,$N$14*(LOG((10^$N$13)/(1+((10^$N$13/10^$N$11)-1)*EXP(-$N$12*(M30-$N$15))))-$N$11))</f>
        <v>2.47362655088724</v>
      </c>
      <c r="S30" s="28" t="n">
        <f aca="false">(Q30-R30)^2</f>
        <v>0.527618387575971</v>
      </c>
      <c r="AB30" s="10"/>
      <c r="AC30" s="72"/>
      <c r="AD30" s="72"/>
    </row>
    <row r="31" customFormat="false" ht="14.25" hidden="false" customHeight="false" outlineLevel="0" collapsed="false">
      <c r="A31" s="0" t="n">
        <f aca="false">Q31/C31</f>
        <v>0.391664320124574</v>
      </c>
      <c r="B31" s="48" t="n">
        <v>48.5000000001164</v>
      </c>
      <c r="C31" s="49" t="n">
        <v>8.17026171539496</v>
      </c>
      <c r="D31" s="45" t="n">
        <f aca="false">(C31-AVERAGE(C$21:C$57))^2</f>
        <v>0.930681629723236</v>
      </c>
      <c r="E31" s="46" t="n">
        <f aca="false">IF(B31&lt;$C$10,$C$11,LOG((10^$C$13)/(1+((10^$C$13/10^$C$11)-1)*EXP(-$C$12*(B31-$C$10)))))</f>
        <v>8.06444413088548</v>
      </c>
      <c r="F31" s="28" t="n">
        <f aca="false">(Q31-G31)^2</f>
        <v>0.763907428343462</v>
      </c>
      <c r="G31" s="0" t="n">
        <f aca="false">IF(B31&lt;$C$15,$C$16,$C$14*(LOG((10^$C$13)/(1+((10^$C$13/10^$C$11)-1)*EXP(-$C$12*(B31-$C$15))))-$C$11))</f>
        <v>4.07401797941659</v>
      </c>
      <c r="L31" s="10"/>
      <c r="M31" s="48" t="n">
        <v>30.0833333333139</v>
      </c>
      <c r="N31" s="49" t="n">
        <v>8.28330122870355</v>
      </c>
      <c r="O31" s="45" t="n">
        <v>0.626486467932811</v>
      </c>
      <c r="P31" s="46" t="n">
        <v>8.3132617861104</v>
      </c>
      <c r="Q31" s="28" t="n">
        <v>3.2</v>
      </c>
      <c r="R31" s="73" t="n">
        <f aca="false">IF(M31&lt;$N$15,$N$16,$N$14*(LOG((10^$N$13)/(1+((10^$N$13/10^$N$11)-1)*EXP(-$N$12*(M31-$N$15))))-$N$11))</f>
        <v>2.88183281578004</v>
      </c>
      <c r="S31" s="28" t="n">
        <f aca="false">(Q31-R31)^2</f>
        <v>0.101230357114455</v>
      </c>
      <c r="T31" s="75"/>
      <c r="AB31" s="10"/>
      <c r="AC31" s="72"/>
      <c r="AD31" s="72"/>
    </row>
    <row r="32" customFormat="false" ht="14.25" hidden="false" customHeight="false" outlineLevel="0" collapsed="false">
      <c r="A32" s="0" t="n">
        <f aca="false">Q32/C32</f>
        <v>0.390243902439024</v>
      </c>
      <c r="B32" s="48" t="n">
        <v>54.0000000000582</v>
      </c>
      <c r="C32" s="49" t="n">
        <v>8.2</v>
      </c>
      <c r="D32" s="45" t="n">
        <f aca="false">(C32-AVERAGE(C$21:C$57))^2</f>
        <v>0.988944137164802</v>
      </c>
      <c r="E32" s="46" t="n">
        <f aca="false">IF(B32&lt;$C$10,$C$11,LOG((10^$C$13)/(1+((10^$C$13/10^$C$11)-1)*EXP(-$C$12*(B32-$C$10)))))</f>
        <v>8.0644525765368</v>
      </c>
      <c r="F32" s="28" t="n">
        <f aca="false">(Q32-G32)^2</f>
        <v>0.771657141287033</v>
      </c>
      <c r="G32" s="0" t="n">
        <f aca="false">IF(B32&lt;$C$15,$C$16,$C$14*(LOG((10^$C$13)/(1+((10^$C$13/10^$C$11)-1)*EXP(-$C$12*(B32-$C$15))))-$C$11))</f>
        <v>4.07844017513262</v>
      </c>
      <c r="L32" s="10"/>
      <c r="M32" s="48" t="n">
        <v>33.0833333333139</v>
      </c>
      <c r="N32" s="49" t="n">
        <v>8.36172783601759</v>
      </c>
      <c r="O32" s="50" t="n">
        <v>0.756787928836517</v>
      </c>
      <c r="P32" s="46" t="n">
        <v>8.32016813988585</v>
      </c>
      <c r="Q32" s="75" t="n">
        <v>3.2</v>
      </c>
      <c r="R32" s="76" t="n">
        <f aca="false">IF(M32&lt;$N$15,$N$16,$N$14*(LOG((10^$N$13)/(1+((10^$N$13/10^$N$11)-1)*EXP(-$N$12*(M32-$N$15))))-$N$11))</f>
        <v>3.17284530889173</v>
      </c>
      <c r="S32" s="28" t="n">
        <f aca="false">(Q32-R32)^2</f>
        <v>0.000737377249185851</v>
      </c>
      <c r="T32" s="75"/>
      <c r="AB32" s="10"/>
    </row>
    <row r="33" customFormat="false" ht="14.25" hidden="false" customHeight="false" outlineLevel="0" collapsed="false">
      <c r="B33" s="48"/>
      <c r="C33" s="49"/>
      <c r="D33" s="45"/>
      <c r="E33" s="46"/>
      <c r="F33" s="28"/>
      <c r="L33" s="10"/>
      <c r="M33" s="48" t="n">
        <v>35.8333333333721</v>
      </c>
      <c r="N33" s="49" t="n">
        <v>8.41161970596323</v>
      </c>
      <c r="O33" s="50" t="n">
        <v>0.84608255404825</v>
      </c>
      <c r="P33" s="46" t="n">
        <v>8.32230623376228</v>
      </c>
      <c r="Q33" s="46" t="n">
        <v>3.2</v>
      </c>
      <c r="R33" s="76" t="n">
        <f aca="false">IF(M33&lt;$N$15,$N$16,$N$14*(LOG((10^$N$13)/(1+((10^$N$13/10^$N$11)-1)*EXP(-$N$12*(M33-$N$15))))-$N$11))</f>
        <v>3.32008315255699</v>
      </c>
      <c r="S33" s="28" t="n">
        <f aca="false">(Q33-R33)^2</f>
        <v>0.0144199635280245</v>
      </c>
      <c r="T33" s="75"/>
      <c r="AB33" s="10"/>
    </row>
    <row r="34" customFormat="false" ht="14.25" hidden="false" customHeight="false" outlineLevel="0" collapsed="false">
      <c r="B34" s="48"/>
      <c r="C34" s="49"/>
      <c r="D34" s="45"/>
      <c r="E34" s="46"/>
      <c r="F34" s="28"/>
      <c r="L34" s="10"/>
      <c r="M34" s="48" t="n">
        <v>42</v>
      </c>
      <c r="N34" s="49" t="n">
        <v>8.3654879848909</v>
      </c>
      <c r="O34" s="50" t="n">
        <v>0.763344242204977</v>
      </c>
      <c r="P34" s="46" t="n">
        <v>8.32336515662601</v>
      </c>
      <c r="Q34" s="46" t="n">
        <v>3.2</v>
      </c>
      <c r="R34" s="76" t="n">
        <f aca="false">IF(M34&lt;$N$15,$N$16,$N$14*(LOG((10^$N$13)/(1+((10^$N$13/10^$N$11)-1)*EXP(-$N$12*(M34-$N$15))))-$N$11))</f>
        <v>3.41556426076115</v>
      </c>
      <c r="S34" s="28" t="n">
        <f aca="false">(Q34-R34)^2</f>
        <v>0.0464679505175011</v>
      </c>
      <c r="T34" s="75"/>
      <c r="AB34" s="10"/>
    </row>
    <row r="35" customFormat="false" ht="14.25" hidden="false" customHeight="false" outlineLevel="0" collapsed="false">
      <c r="B35" s="48"/>
      <c r="C35" s="49"/>
      <c r="D35" s="45"/>
      <c r="E35" s="46"/>
      <c r="F35" s="28"/>
      <c r="L35" s="10"/>
      <c r="M35" s="48" t="n">
        <v>48.25</v>
      </c>
      <c r="N35" s="49" t="n">
        <v>8.26007138798508</v>
      </c>
      <c r="O35" s="50" t="n">
        <v>0.590252838293602</v>
      </c>
      <c r="P35" s="46" t="n">
        <v>8.32346839051018</v>
      </c>
      <c r="Q35" s="46" t="n">
        <v>3.2</v>
      </c>
      <c r="R35" s="76" t="n">
        <f aca="false">IF(M35&lt;$N$15,$N$16,$N$14*(LOG((10^$N$13)/(1+((10^$N$13/10^$N$11)-1)*EXP(-$N$12*(M35-$N$15))))-$N$11))</f>
        <v>3.42604552993735</v>
      </c>
      <c r="S35" s="28" t="n">
        <f aca="false">(Q35-R35)^2</f>
        <v>0.051096581604656</v>
      </c>
      <c r="AB35" s="10"/>
    </row>
    <row r="36" customFormat="false" ht="14.25" hidden="false" customHeight="false" outlineLevel="0" collapsed="false">
      <c r="B36" s="48"/>
      <c r="C36" s="49"/>
      <c r="D36" s="45"/>
      <c r="E36" s="46"/>
      <c r="F36" s="28"/>
      <c r="L36" s="10"/>
      <c r="M36" s="48" t="n">
        <v>54.0833333333139</v>
      </c>
      <c r="N36" s="49" t="n">
        <v>8.2148438480477</v>
      </c>
      <c r="O36" s="50" t="n">
        <v>0.522803617609023</v>
      </c>
      <c r="P36" s="46" t="n">
        <v>8.32347792628642</v>
      </c>
      <c r="Q36" s="46" t="n">
        <v>3.2</v>
      </c>
      <c r="R36" s="76" t="n">
        <f aca="false">IF(M36&lt;$N$15,$N$16,$N$14*(LOG((10^$N$13)/(1+((10^$N$13/10^$N$11)-1)*EXP(-$N$12*(M36-$N$15))))-$N$11))</f>
        <v>3.42702603793008</v>
      </c>
      <c r="S36" s="28" t="n">
        <f aca="false">(Q36-R36)^2</f>
        <v>0.0515408218982295</v>
      </c>
      <c r="AB36" s="10"/>
    </row>
    <row r="37" customFormat="false" ht="14.25" hidden="false" customHeight="false" outlineLevel="0" collapsed="false">
      <c r="B37" s="48"/>
      <c r="C37" s="49"/>
      <c r="D37" s="45"/>
      <c r="E37" s="46"/>
      <c r="F37" s="28"/>
      <c r="L37" s="10"/>
      <c r="M37" s="48"/>
      <c r="N37" s="49"/>
      <c r="O37" s="50"/>
      <c r="P37" s="46"/>
      <c r="Q37" s="46"/>
      <c r="R37" s="73"/>
      <c r="S37" s="28"/>
      <c r="AB37" s="10"/>
    </row>
    <row r="38" customFormat="false" ht="14.25" hidden="false" customHeight="false" outlineLevel="0" collapsed="false">
      <c r="B38" s="48"/>
      <c r="C38" s="49"/>
      <c r="D38" s="45"/>
      <c r="E38" s="46"/>
      <c r="F38" s="28"/>
      <c r="L38" s="10"/>
      <c r="M38" s="48"/>
      <c r="N38" s="49"/>
      <c r="O38" s="50"/>
      <c r="P38" s="46"/>
      <c r="Q38" s="46"/>
      <c r="R38" s="73"/>
      <c r="S38" s="28"/>
      <c r="AB38" s="10"/>
    </row>
    <row r="39" customFormat="false" ht="14.25" hidden="false" customHeight="false" outlineLevel="0" collapsed="false">
      <c r="B39" s="48"/>
      <c r="C39" s="49"/>
      <c r="D39" s="45"/>
      <c r="E39" s="46"/>
      <c r="F39" s="28"/>
      <c r="L39" s="10"/>
      <c r="M39" s="48"/>
      <c r="N39" s="49"/>
      <c r="O39" s="50"/>
      <c r="P39" s="46"/>
      <c r="Q39" s="46"/>
      <c r="R39" s="73"/>
      <c r="S39" s="28"/>
      <c r="AB39" s="10"/>
    </row>
    <row r="40" customFormat="false" ht="14.25" hidden="false" customHeight="false" outlineLevel="0" collapsed="false">
      <c r="B40" s="48"/>
      <c r="C40" s="49"/>
      <c r="D40" s="45"/>
      <c r="E40" s="46"/>
      <c r="F40" s="28"/>
      <c r="L40" s="10"/>
      <c r="M40" s="48"/>
      <c r="N40" s="49"/>
      <c r="O40" s="50"/>
      <c r="P40" s="46"/>
      <c r="Q40" s="46"/>
      <c r="R40" s="73"/>
      <c r="S40" s="28"/>
      <c r="AB40" s="10"/>
    </row>
    <row r="41" customFormat="false" ht="14.25" hidden="false" customHeight="false" outlineLevel="0" collapsed="false">
      <c r="B41" s="48"/>
      <c r="C41" s="49"/>
      <c r="D41" s="45"/>
      <c r="E41" s="46"/>
      <c r="F41" s="28"/>
      <c r="L41" s="10"/>
      <c r="M41" s="48"/>
      <c r="N41" s="49"/>
      <c r="O41" s="50"/>
      <c r="P41" s="46"/>
      <c r="Q41" s="46"/>
      <c r="R41" s="73"/>
      <c r="S41" s="28"/>
      <c r="AB41" s="10"/>
    </row>
    <row r="42" customFormat="false" ht="14.25" hidden="false" customHeight="false" outlineLevel="0" collapsed="false">
      <c r="B42" s="48"/>
      <c r="C42" s="49"/>
      <c r="D42" s="45"/>
      <c r="E42" s="46"/>
      <c r="F42" s="28"/>
      <c r="L42" s="10"/>
      <c r="M42" s="48"/>
      <c r="N42" s="49"/>
      <c r="O42" s="45"/>
      <c r="P42" s="46"/>
      <c r="Q42" s="46"/>
      <c r="R42" s="28"/>
      <c r="AB42" s="10"/>
    </row>
    <row r="43" customFormat="false" ht="14.25" hidden="false" customHeight="false" outlineLevel="0" collapsed="false">
      <c r="B43" s="48"/>
      <c r="C43" s="49"/>
      <c r="D43" s="45"/>
      <c r="E43" s="46"/>
      <c r="F43" s="28"/>
      <c r="L43" s="10"/>
      <c r="M43" s="48"/>
      <c r="N43" s="49"/>
      <c r="O43" s="45"/>
      <c r="P43" s="46"/>
      <c r="Q43" s="46"/>
      <c r="R43" s="28"/>
      <c r="AB43" s="10"/>
    </row>
    <row r="44" customFormat="false" ht="14.25" hidden="false" customHeight="false" outlineLevel="0" collapsed="false">
      <c r="B44" s="48"/>
      <c r="C44" s="49"/>
      <c r="D44" s="45"/>
      <c r="E44" s="46"/>
      <c r="F44" s="28"/>
      <c r="L44" s="10"/>
      <c r="M44" s="48"/>
      <c r="N44" s="49"/>
      <c r="O44" s="45"/>
      <c r="P44" s="46"/>
      <c r="Q44" s="46"/>
      <c r="R44" s="28"/>
      <c r="AB44" s="10"/>
    </row>
    <row r="45" customFormat="false" ht="14.25" hidden="false" customHeight="false" outlineLevel="0" collapsed="false">
      <c r="B45" s="48"/>
      <c r="C45" s="49"/>
      <c r="D45" s="45"/>
      <c r="E45" s="46"/>
      <c r="F45" s="28"/>
      <c r="L45" s="10"/>
      <c r="M45" s="48"/>
      <c r="N45" s="49"/>
      <c r="O45" s="45"/>
      <c r="P45" s="46"/>
      <c r="Q45" s="46"/>
      <c r="R45" s="28"/>
      <c r="AB45" s="10"/>
    </row>
    <row r="46" customFormat="false" ht="14.25" hidden="false" customHeight="false" outlineLevel="0" collapsed="false">
      <c r="B46" s="48"/>
      <c r="C46" s="49"/>
      <c r="D46" s="45"/>
      <c r="E46" s="46"/>
      <c r="F46" s="28"/>
      <c r="H46" s="0" t="n">
        <f aca="false">LOG(2)</f>
        <v>0.301029995663981</v>
      </c>
      <c r="L46" s="10"/>
      <c r="M46" s="48"/>
      <c r="N46" s="49"/>
      <c r="O46" s="45"/>
      <c r="P46" s="46"/>
      <c r="Q46" s="46"/>
      <c r="R46" s="28"/>
      <c r="AB46" s="10"/>
    </row>
    <row r="47" customFormat="false" ht="14.25" hidden="false" customHeight="false" outlineLevel="0" collapsed="false">
      <c r="B47" s="48"/>
      <c r="C47" s="49"/>
      <c r="D47" s="45"/>
      <c r="E47" s="46"/>
      <c r="F47" s="28"/>
      <c r="H47" s="0" t="n">
        <f aca="false">LN(2)</f>
        <v>0.693147180559945</v>
      </c>
      <c r="L47" s="10"/>
      <c r="M47" s="48"/>
      <c r="N47" s="49"/>
      <c r="O47" s="45"/>
      <c r="P47" s="46"/>
      <c r="Q47" s="46"/>
      <c r="R47" s="28"/>
      <c r="AB47" s="10"/>
    </row>
    <row r="48" customFormat="false" ht="14.25" hidden="false" customHeight="false" outlineLevel="0" collapsed="false">
      <c r="B48" s="48"/>
      <c r="C48" s="49"/>
      <c r="D48" s="45"/>
      <c r="E48" s="46"/>
      <c r="F48" s="28"/>
      <c r="L48" s="10"/>
      <c r="M48" s="48"/>
      <c r="N48" s="49"/>
      <c r="O48" s="45"/>
      <c r="P48" s="46"/>
      <c r="Q48" s="46"/>
      <c r="R48" s="28"/>
      <c r="AB48" s="10"/>
    </row>
    <row r="49" customFormat="false" ht="14.25" hidden="false" customHeight="false" outlineLevel="0" collapsed="false">
      <c r="B49" s="48"/>
      <c r="C49" s="49"/>
      <c r="D49" s="45"/>
      <c r="E49" s="46"/>
      <c r="F49" s="28"/>
      <c r="L49" s="10"/>
      <c r="M49" s="48"/>
      <c r="N49" s="49"/>
      <c r="O49" s="45"/>
      <c r="P49" s="46"/>
      <c r="Q49" s="46"/>
      <c r="R49" s="28"/>
      <c r="AB49" s="10"/>
    </row>
    <row r="50" customFormat="false" ht="14.25" hidden="false" customHeight="false" outlineLevel="0" collapsed="false">
      <c r="B50" s="48"/>
      <c r="C50" s="49"/>
      <c r="D50" s="45"/>
      <c r="E50" s="46"/>
      <c r="F50" s="28"/>
      <c r="L50" s="10"/>
      <c r="M50" s="48"/>
      <c r="N50" s="49"/>
      <c r="O50" s="45"/>
      <c r="P50" s="46"/>
      <c r="Q50" s="46"/>
      <c r="R50" s="28"/>
      <c r="AB50" s="10"/>
    </row>
    <row r="51" customFormat="false" ht="14.25" hidden="false" customHeight="false" outlineLevel="0" collapsed="false">
      <c r="B51" s="48"/>
      <c r="C51" s="49"/>
      <c r="D51" s="45"/>
      <c r="E51" s="46"/>
      <c r="F51" s="28"/>
      <c r="L51" s="10"/>
      <c r="M51" s="48"/>
      <c r="N51" s="49"/>
      <c r="O51" s="45"/>
      <c r="P51" s="46"/>
      <c r="Q51" s="46"/>
      <c r="R51" s="28"/>
      <c r="AB51" s="10"/>
    </row>
    <row r="52" customFormat="false" ht="14.25" hidden="false" customHeight="false" outlineLevel="0" collapsed="false">
      <c r="B52" s="48"/>
      <c r="C52" s="49"/>
      <c r="D52" s="45"/>
      <c r="E52" s="46"/>
      <c r="F52" s="28"/>
      <c r="L52" s="10"/>
      <c r="M52" s="48"/>
      <c r="N52" s="49"/>
      <c r="O52" s="45"/>
      <c r="P52" s="46"/>
      <c r="Q52" s="46"/>
      <c r="R52" s="28"/>
      <c r="AB52" s="10"/>
    </row>
    <row r="53" customFormat="false" ht="14.25" hidden="false" customHeight="false" outlineLevel="0" collapsed="false">
      <c r="B53" s="48"/>
      <c r="C53" s="49"/>
      <c r="D53" s="45"/>
      <c r="E53" s="46"/>
      <c r="F53" s="28"/>
      <c r="L53" s="10"/>
      <c r="M53" s="48"/>
      <c r="N53" s="49"/>
      <c r="O53" s="45"/>
      <c r="P53" s="46"/>
      <c r="Q53" s="46"/>
      <c r="R53" s="28"/>
      <c r="AB53" s="10"/>
    </row>
    <row r="54" customFormat="false" ht="14.25" hidden="false" customHeight="false" outlineLevel="0" collapsed="false">
      <c r="B54" s="48"/>
      <c r="C54" s="49"/>
      <c r="D54" s="45"/>
      <c r="E54" s="46"/>
      <c r="F54" s="28"/>
      <c r="L54" s="10"/>
      <c r="M54" s="48"/>
      <c r="N54" s="49"/>
      <c r="O54" s="45"/>
      <c r="P54" s="46"/>
      <c r="Q54" s="46"/>
      <c r="R54" s="28"/>
      <c r="AB54" s="10"/>
    </row>
    <row r="55" customFormat="false" ht="14.25" hidden="false" customHeight="false" outlineLevel="0" collapsed="false">
      <c r="B55" s="48"/>
      <c r="C55" s="49"/>
      <c r="D55" s="45"/>
      <c r="E55" s="46"/>
      <c r="F55" s="28"/>
      <c r="L55" s="10"/>
      <c r="M55" s="48"/>
      <c r="N55" s="49"/>
      <c r="O55" s="45"/>
      <c r="P55" s="46"/>
      <c r="Q55" s="46"/>
      <c r="R55" s="28"/>
      <c r="AB55" s="10"/>
    </row>
    <row r="56" customFormat="false" ht="14.25" hidden="false" customHeight="false" outlineLevel="0" collapsed="false">
      <c r="B56" s="48"/>
      <c r="C56" s="49"/>
      <c r="D56" s="45"/>
      <c r="E56" s="46"/>
      <c r="F56" s="28"/>
      <c r="L56" s="10"/>
      <c r="M56" s="48"/>
      <c r="N56" s="49"/>
      <c r="O56" s="45"/>
      <c r="P56" s="46"/>
      <c r="Q56" s="46"/>
      <c r="R56" s="28"/>
      <c r="AB56" s="10"/>
    </row>
    <row r="57" customFormat="false" ht="14.25" hidden="false" customHeight="false" outlineLevel="0" collapsed="false">
      <c r="B57" s="48"/>
      <c r="C57" s="49"/>
      <c r="D57" s="45"/>
      <c r="E57" s="46"/>
      <c r="F57" s="28"/>
      <c r="L57" s="10"/>
      <c r="M57" s="48"/>
      <c r="N57" s="49"/>
      <c r="O57" s="45"/>
      <c r="P57" s="46"/>
      <c r="Q57" s="46"/>
      <c r="R57" s="28"/>
      <c r="AB57" s="10"/>
    </row>
    <row r="58" customFormat="false" ht="15" hidden="false" customHeight="false" outlineLevel="0" collapsed="false">
      <c r="B58" s="51"/>
      <c r="C58" s="52" t="s">
        <v>21</v>
      </c>
      <c r="D58" s="52" t="n">
        <f aca="false">SUM(D21:D57)</f>
        <v>14.2023980775639</v>
      </c>
      <c r="E58" s="53"/>
      <c r="F58" s="53"/>
      <c r="G58" s="53"/>
      <c r="H58" s="53"/>
      <c r="I58" s="53"/>
      <c r="J58" s="53"/>
      <c r="K58" s="53"/>
      <c r="L58" s="54"/>
      <c r="M58" s="51"/>
      <c r="N58" s="55" t="s">
        <v>21</v>
      </c>
      <c r="O58" s="56" t="n">
        <f aca="false">SUM(O21:O32)</f>
        <v>16.392347124432</v>
      </c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4"/>
    </row>
    <row r="59" customFormat="false" ht="21" hidden="false" customHeight="false" outlineLevel="0" collapsed="false">
      <c r="E59" s="57" t="s">
        <v>37</v>
      </c>
    </row>
    <row r="60" customFormat="false" ht="15" hidden="false" customHeight="false" outlineLevel="0" collapsed="false">
      <c r="J60" s="58" t="s">
        <v>38</v>
      </c>
      <c r="K60" s="59" t="n">
        <f aca="false">($H$62-$H$65)/($H$63-$H$66)/($H$65/$H$66)</f>
        <v>-6.65320755384994</v>
      </c>
    </row>
    <row r="61" customFormat="false" ht="15" hidden="false" customHeight="false" outlineLevel="0" collapsed="false">
      <c r="G61" s="60"/>
      <c r="H61" s="60" t="s">
        <v>39</v>
      </c>
      <c r="J61" s="60"/>
      <c r="K61" s="61"/>
    </row>
    <row r="62" customFormat="false" ht="15" hidden="false" customHeight="false" outlineLevel="0" collapsed="false">
      <c r="F62" s="60"/>
      <c r="G62" s="60" t="s">
        <v>40</v>
      </c>
      <c r="H62" s="62" t="n">
        <f aca="false">O11</f>
        <v>1.35902257096591</v>
      </c>
      <c r="J62" s="63" t="s">
        <v>41</v>
      </c>
      <c r="K62" s="63" t="n">
        <f aca="false">_xlfn.F.INV.RT(0.05,1,H66)</f>
        <v>5.31765507157872</v>
      </c>
    </row>
    <row r="63" customFormat="false" ht="15" hidden="false" customHeight="false" outlineLevel="0" collapsed="false">
      <c r="F63" s="60"/>
      <c r="G63" s="60" t="s">
        <v>42</v>
      </c>
      <c r="H63" s="64" t="n">
        <f aca="false">$X$6-$X$8</f>
        <v>9</v>
      </c>
      <c r="J63" s="63" t="s">
        <v>43</v>
      </c>
      <c r="K63" s="63" t="n">
        <f aca="false">_xlfn.F.INV.RT(0.01,1,H66)</f>
        <v>11.2586241432726</v>
      </c>
    </row>
    <row r="64" customFormat="false" ht="15" hidden="false" customHeight="false" outlineLevel="0" collapsed="false">
      <c r="F64" s="60"/>
      <c r="G64" s="60"/>
      <c r="H64" s="60" t="s">
        <v>44</v>
      </c>
    </row>
    <row r="65" customFormat="false" ht="24" hidden="false" customHeight="false" outlineLevel="0" collapsed="false">
      <c r="F65" s="60"/>
      <c r="G65" s="60" t="s">
        <v>45</v>
      </c>
      <c r="H65" s="62" t="n">
        <f aca="false">D11</f>
        <v>8.07264742151359</v>
      </c>
      <c r="J65" s="65" t="s">
        <v>46</v>
      </c>
    </row>
    <row r="66" customFormat="false" ht="15" hidden="false" customHeight="false" outlineLevel="0" collapsed="false">
      <c r="G66" s="60" t="s">
        <v>47</v>
      </c>
      <c r="H66" s="64" t="n">
        <f aca="false">$G$6-$G$8</f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LibreOffice/7.5.9.2$Linux_X86_64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2022-06-02T10:50:52Z</dcterms:created>
  <dc:creator>Ferrer, Nuria</dc:creator>
  <dc:description/>
  <dc:language>en-DK</dc:language>
  <cp:lastModifiedBy/>
  <dcterms:modified xsi:type="dcterms:W3CDTF">2026-06-29T17:46:34Z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