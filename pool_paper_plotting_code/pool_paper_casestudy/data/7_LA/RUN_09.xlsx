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_rels/sheet11.xml.rels" ContentType="application/vnd.openxmlformats-package.relationships+xml"/>
  <Override PartName="/xl/worksheets/_rels/sheet3.xml.rels" ContentType="application/vnd.openxmlformats-package.relationships+xml"/>
  <Override PartName="/xl/worksheets/_rels/sheet10.xml.rels" ContentType="application/vnd.openxmlformats-package.relationships+xml"/>
  <Override PartName="/xl/worksheets/_rels/sheet2.xml.rels" ContentType="application/vnd.openxmlformats-package.relationships+xml"/>
  <Override PartName="/xl/worksheets/_rels/sheet9.xml.rels" ContentType="application/vnd.openxmlformats-package.relationships+xml"/>
  <Override PartName="/xl/worksheets/_rels/sheet8.xml.rels" ContentType="application/vnd.openxmlformats-package.relationships+xml"/>
  <Override PartName="/xl/worksheets/_rels/sheet7.xml.rels" ContentType="application/vnd.openxmlformats-package.relationship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1.xml.rels" ContentType="application/vnd.openxmlformats-package.relationships+xml"/>
  <Override PartName="/xl/worksheets/sheet11.xml" ContentType="application/vnd.openxmlformats-officedocument.spreadsheetml.worksheet+xml"/>
  <Override PartName="/xl/externalLinks/_rels/externalLink1.xml.rels" ContentType="application/vnd.openxmlformats-package.relationships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charts/chart9.xml" ContentType="application/vnd.openxmlformats-officedocument.drawingml.chart+xml"/>
  <Override PartName="/xl/charts/chart8.xml" ContentType="application/vnd.openxmlformats-officedocument.drawingml.chart+xml"/>
  <Override PartName="/xl/charts/chart13.xml" ContentType="application/vnd.openxmlformats-officedocument.drawingml.chart+xml"/>
  <Override PartName="/xl/charts/chart21.xml" ContentType="application/vnd.openxmlformats-officedocument.drawingml.chart+xml"/>
  <Override PartName="/xl/charts/chart7.xml" ContentType="application/vnd.openxmlformats-officedocument.drawingml.chart+xml"/>
  <Override PartName="/xl/charts/chart12.xml" ContentType="application/vnd.openxmlformats-officedocument.drawingml.chart+xml"/>
  <Override PartName="/xl/charts/chart20.xml" ContentType="application/vnd.openxmlformats-officedocument.drawingml.chart+xml"/>
  <Override PartName="/xl/charts/chart6.xml" ContentType="application/vnd.openxmlformats-officedocument.drawingml.chart+xml"/>
  <Override PartName="/xl/charts/chart11.xml" ContentType="application/vnd.openxmlformats-officedocument.drawingml.chart+xml"/>
  <Override PartName="/xl/charts/chart19.xml" ContentType="application/vnd.openxmlformats-officedocument.drawingml.chart+xml"/>
  <Override PartName="/xl/charts/chart18.xml" ContentType="application/vnd.openxmlformats-officedocument.drawingml.chart+xml"/>
  <Override PartName="/xl/charts/chart17.xml" ContentType="application/vnd.openxmlformats-officedocument.drawingml.chart+xml"/>
  <Override PartName="/xl/charts/chart16.xml" ContentType="application/vnd.openxmlformats-officedocument.drawingml.chart+xml"/>
  <Override PartName="/xl/charts/chart15.xml" ContentType="application/vnd.openxmlformats-officedocument.drawingml.chart+xml"/>
  <Override PartName="/xl/charts/chart22.xml" ContentType="application/vnd.openxmlformats-officedocument.drawingml.chart+xml"/>
  <Override PartName="/xl/charts/chart14.xml" ContentType="application/vnd.openxmlformats-officedocument.drawingml.char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10.xml" ContentType="application/vnd.openxmlformats-officedocument.drawingml.chart+xml"/>
  <Override PartName="/xl/charts/chart5.xml" ContentType="application/vnd.openxmlformats-officedocument.drawingml.chart+xml"/>
  <Override PartName="/xl/drawings/_rels/drawing11.xml.rels" ContentType="application/vnd.openxmlformats-package.relationships+xml"/>
  <Override PartName="/xl/drawings/_rels/drawing3.xml.rels" ContentType="application/vnd.openxmlformats-package.relationships+xml"/>
  <Override PartName="/xl/drawings/_rels/drawing10.xml.rels" ContentType="application/vnd.openxmlformats-package.relationships+xml"/>
  <Override PartName="/xl/drawings/_rels/drawing2.xml.rels" ContentType="application/vnd.openxmlformats-package.relationships+xml"/>
  <Override PartName="/xl/drawings/_rels/drawing9.xml.rels" ContentType="application/vnd.openxmlformats-package.relationships+xml"/>
  <Override PartName="/xl/drawings/_rels/drawing8.xml.rels" ContentType="application/vnd.openxmlformats-package.relationships+xml"/>
  <Override PartName="/xl/drawings/_rels/drawing7.xml.rels" ContentType="application/vnd.openxmlformats-package.relationships+xml"/>
  <Override PartName="/xl/drawings/_rels/drawing6.xml.rels" ContentType="application/vnd.openxmlformats-package.relationships+xml"/>
  <Override PartName="/xl/drawings/_rels/drawing5.xml.rels" ContentType="application/vnd.openxmlformats-package.relationships+xml"/>
  <Override PartName="/xl/drawings/_rels/drawing4.xml.rels" ContentType="application/vnd.openxmlformats-package.relationship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docProps/core.xml" ContentType="application/vnd.openxmlformats-package.core-properties+xml"/>
  <Override PartName="/docProps/custom.xml" ContentType="application/vnd.openxmlformats-officedocument.custom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R9_494_GR_log" sheetId="1" state="visible" r:id="rId2"/>
    <sheet name="R9_494_LA_prod" sheetId="2" state="visible" r:id="rId3"/>
    <sheet name="R9_494_LA_prod_2" sheetId="3" state="visible" r:id="rId4"/>
    <sheet name="R9_23K_GR_log" sheetId="4" state="visible" r:id="rId5"/>
    <sheet name="R9_23K_LA_prod" sheetId="5" state="visible" r:id="rId6"/>
    <sheet name="R9_1034_GR_log" sheetId="6" state="visible" r:id="rId7"/>
    <sheet name="R9_1034_LA_prod" sheetId="7" state="visible" r:id="rId8"/>
    <sheet name="R9_494co_GR_log" sheetId="8" state="visible" r:id="rId9"/>
    <sheet name="R9_494co_LA_prod" sheetId="9" state="visible" r:id="rId10"/>
    <sheet name="R9_23Kco_GR_log " sheetId="10" state="visible" r:id="rId11"/>
    <sheet name="R9_23Kco_LA_prod" sheetId="11" state="visible" r:id="rId12"/>
  </sheets>
  <externalReferences>
    <externalReference r:id="rId13"/>
  </externalReferences>
  <definedNames>
    <definedName function="false" hidden="false" localSheetId="0" name="solver_adj" vbProcedure="false">R9_494_GR_log!$O$11:$O$13</definedName>
    <definedName function="false" hidden="false" localSheetId="0" name="solver_cvg" vbProcedure="false">0.0001</definedName>
    <definedName function="false" hidden="false" localSheetId="0" name="solver_drv" vbProcedure="false">1</definedName>
    <definedName function="false" hidden="false" localSheetId="0" name="solver_eng" vbProcedure="false">1</definedName>
    <definedName function="false" hidden="false" localSheetId="0" name="solver_est" vbProcedure="false">1</definedName>
    <definedName function="false" hidden="false" localSheetId="0" name="solver_itr" vbProcedure="false">2147483647</definedName>
    <definedName function="false" hidden="false" localSheetId="0" name="solver_mip" vbProcedure="false">2147483647</definedName>
    <definedName function="false" hidden="false" localSheetId="0" name="solver_mni" vbProcedure="false">30</definedName>
    <definedName function="false" hidden="false" localSheetId="0" name="solver_mrt" vbProcedure="false">0.075</definedName>
    <definedName function="false" hidden="false" localSheetId="0" name="solver_msl" vbProcedure="false">2</definedName>
    <definedName function="false" hidden="false" localSheetId="0" name="solver_neg" vbProcedure="false">1</definedName>
    <definedName function="false" hidden="false" localSheetId="0" name="solver_nod" vbProcedure="false">2147483647</definedName>
    <definedName function="false" hidden="false" localSheetId="0" name="solver_num" vbProcedure="false">0</definedName>
    <definedName function="false" hidden="false" localSheetId="0" name="solver_nwt" vbProcedure="false">1</definedName>
    <definedName function="false" hidden="false" localSheetId="0" name="solver_opt" vbProcedure="false">R9_494_GR_log!$P$11</definedName>
    <definedName function="false" hidden="false" localSheetId="0" name="solver_pre" vbProcedure="false">0.000001</definedName>
    <definedName function="false" hidden="false" localSheetId="0" name="solver_rbv" vbProcedure="false">1</definedName>
    <definedName function="false" hidden="false" localSheetId="0" name="solver_rlx" vbProcedure="false">2</definedName>
    <definedName function="false" hidden="false" localSheetId="0" name="solver_rsd" vbProcedure="false">0</definedName>
    <definedName function="false" hidden="false" localSheetId="0" name="solver_scl" vbProcedure="false">1</definedName>
    <definedName function="false" hidden="false" localSheetId="0" name="solver_sho" vbProcedure="false">2</definedName>
    <definedName function="false" hidden="false" localSheetId="0" name="solver_ssz" vbProcedure="false">100</definedName>
    <definedName function="false" hidden="false" localSheetId="0" name="solver_tim" vbProcedure="false">2147483647</definedName>
    <definedName function="false" hidden="false" localSheetId="0" name="solver_tol" vbProcedure="false">0.01</definedName>
    <definedName function="false" hidden="false" localSheetId="0" name="solver_typ" vbProcedure="false">2</definedName>
    <definedName function="false" hidden="false" localSheetId="0" name="solver_val" vbProcedure="false">0</definedName>
    <definedName function="false" hidden="false" localSheetId="0" name="solver_ver" vbProcedure="false">3</definedName>
    <definedName function="false" hidden="false" localSheetId="1" name="solver_adj" vbProcedure="false">R9_494_LA_prod!$N$14:$N$16</definedName>
    <definedName function="false" hidden="false" localSheetId="1" name="solver_cvg" vbProcedure="false">0.0001</definedName>
    <definedName function="false" hidden="false" localSheetId="1" name="solver_drv" vbProcedure="false">1</definedName>
    <definedName function="false" hidden="false" localSheetId="1" name="solver_eng" vbProcedure="false">1</definedName>
    <definedName function="false" hidden="false" localSheetId="1" name="solver_est" vbProcedure="false">1</definedName>
    <definedName function="false" hidden="false" localSheetId="1" name="solver_itr" vbProcedure="false">2147483647</definedName>
    <definedName function="false" hidden="false" localSheetId="1" name="solver_mip" vbProcedure="false">2147483647</definedName>
    <definedName function="false" hidden="false" localSheetId="1" name="solver_mni" vbProcedure="false">30</definedName>
    <definedName function="false" hidden="false" localSheetId="1" name="solver_mrt" vbProcedure="false">0.075</definedName>
    <definedName function="false" hidden="false" localSheetId="1" name="solver_msl" vbProcedure="false">2</definedName>
    <definedName function="false" hidden="false" localSheetId="1" name="solver_neg" vbProcedure="false">1</definedName>
    <definedName function="false" hidden="false" localSheetId="1" name="solver_nod" vbProcedure="false">2147483647</definedName>
    <definedName function="false" hidden="false" localSheetId="1" name="solver_num" vbProcedure="false">0</definedName>
    <definedName function="false" hidden="false" localSheetId="1" name="solver_nwt" vbProcedure="false">1</definedName>
    <definedName function="false" hidden="false" localSheetId="1" name="solver_opt" vbProcedure="false">R9_494_LA_prod!$O$11</definedName>
    <definedName function="false" hidden="false" localSheetId="1" name="solver_pre" vbProcedure="false">0.000001</definedName>
    <definedName function="false" hidden="false" localSheetId="1" name="solver_rbv" vbProcedure="false">1</definedName>
    <definedName function="false" hidden="false" localSheetId="1" name="solver_rlx" vbProcedure="false">2</definedName>
    <definedName function="false" hidden="false" localSheetId="1" name="solver_rsd" vbProcedure="false">0</definedName>
    <definedName function="false" hidden="false" localSheetId="1" name="solver_scl" vbProcedure="false">1</definedName>
    <definedName function="false" hidden="false" localSheetId="1" name="solver_sho" vbProcedure="false">2</definedName>
    <definedName function="false" hidden="false" localSheetId="1" name="solver_ssz" vbProcedure="false">100</definedName>
    <definedName function="false" hidden="false" localSheetId="1" name="solver_tim" vbProcedure="false">2147483647</definedName>
    <definedName function="false" hidden="false" localSheetId="1" name="solver_tol" vbProcedure="false">0.01</definedName>
    <definedName function="false" hidden="false" localSheetId="1" name="solver_typ" vbProcedure="false">2</definedName>
    <definedName function="false" hidden="false" localSheetId="1" name="solver_val" vbProcedure="false">0</definedName>
    <definedName function="false" hidden="false" localSheetId="1" name="solver_ver" vbProcedure="false">3</definedName>
    <definedName function="false" hidden="false" localSheetId="2" name="solver_adj" vbProcedure="false">R9_494_LA_prod_2!$N$14:$N$16</definedName>
    <definedName function="false" hidden="false" localSheetId="2" name="solver_cvg" vbProcedure="false">0.0001</definedName>
    <definedName function="false" hidden="false" localSheetId="2" name="solver_drv" vbProcedure="false">1</definedName>
    <definedName function="false" hidden="false" localSheetId="2" name="solver_eng" vbProcedure="false">1</definedName>
    <definedName function="false" hidden="false" localSheetId="2" name="solver_est" vbProcedure="false">1</definedName>
    <definedName function="false" hidden="false" localSheetId="2" name="solver_itr" vbProcedure="false">2147483647</definedName>
    <definedName function="false" hidden="false" localSheetId="2" name="solver_mip" vbProcedure="false">2147483647</definedName>
    <definedName function="false" hidden="false" localSheetId="2" name="solver_mni" vbProcedure="false">30</definedName>
    <definedName function="false" hidden="false" localSheetId="2" name="solver_mrt" vbProcedure="false">0.075</definedName>
    <definedName function="false" hidden="false" localSheetId="2" name="solver_msl" vbProcedure="false">2</definedName>
    <definedName function="false" hidden="false" localSheetId="2" name="solver_neg" vbProcedure="false">1</definedName>
    <definedName function="false" hidden="false" localSheetId="2" name="solver_nod" vbProcedure="false">2147483647</definedName>
    <definedName function="false" hidden="false" localSheetId="2" name="solver_num" vbProcedure="false">0</definedName>
    <definedName function="false" hidden="false" localSheetId="2" name="solver_nwt" vbProcedure="false">1</definedName>
    <definedName function="false" hidden="false" localSheetId="2" name="solver_opt" vbProcedure="false">R9_494_LA_prod_2!$O$11</definedName>
    <definedName function="false" hidden="false" localSheetId="2" name="solver_pre" vbProcedure="false">0.000001</definedName>
    <definedName function="false" hidden="false" localSheetId="2" name="solver_rbv" vbProcedure="false">1</definedName>
    <definedName function="false" hidden="false" localSheetId="2" name="solver_rlx" vbProcedure="false">2</definedName>
    <definedName function="false" hidden="false" localSheetId="2" name="solver_rsd" vbProcedure="false">0</definedName>
    <definedName function="false" hidden="false" localSheetId="2" name="solver_scl" vbProcedure="false">1</definedName>
    <definedName function="false" hidden="false" localSheetId="2" name="solver_sho" vbProcedure="false">2</definedName>
    <definedName function="false" hidden="false" localSheetId="2" name="solver_ssz" vbProcedure="false">100</definedName>
    <definedName function="false" hidden="false" localSheetId="2" name="solver_tim" vbProcedure="false">2147483647</definedName>
    <definedName function="false" hidden="false" localSheetId="2" name="solver_tol" vbProcedure="false">0.01</definedName>
    <definedName function="false" hidden="false" localSheetId="2" name="solver_typ" vbProcedure="false">2</definedName>
    <definedName function="false" hidden="false" localSheetId="2" name="solver_val" vbProcedure="false">0</definedName>
    <definedName function="false" hidden="false" localSheetId="2" name="solver_ver" vbProcedure="false">3</definedName>
    <definedName function="false" hidden="false" localSheetId="3" name="solver_adj" vbProcedure="false">R9_23K_GR_log!$O$11:$O$13</definedName>
    <definedName function="false" hidden="false" localSheetId="3" name="solver_cvg" vbProcedure="false">0.0001</definedName>
    <definedName function="false" hidden="false" localSheetId="3" name="solver_drv" vbProcedure="false">1</definedName>
    <definedName function="false" hidden="false" localSheetId="3" name="solver_eng" vbProcedure="false">1</definedName>
    <definedName function="false" hidden="false" localSheetId="3" name="solver_est" vbProcedure="false">1</definedName>
    <definedName function="false" hidden="false" localSheetId="3" name="solver_itr" vbProcedure="false">2147483647</definedName>
    <definedName function="false" hidden="false" localSheetId="3" name="solver_mip" vbProcedure="false">2147483647</definedName>
    <definedName function="false" hidden="false" localSheetId="3" name="solver_mni" vbProcedure="false">30</definedName>
    <definedName function="false" hidden="false" localSheetId="3" name="solver_mrt" vbProcedure="false">0.075</definedName>
    <definedName function="false" hidden="false" localSheetId="3" name="solver_msl" vbProcedure="false">2</definedName>
    <definedName function="false" hidden="false" localSheetId="3" name="solver_neg" vbProcedure="false">1</definedName>
    <definedName function="false" hidden="false" localSheetId="3" name="solver_nod" vbProcedure="false">2147483647</definedName>
    <definedName function="false" hidden="false" localSheetId="3" name="solver_num" vbProcedure="false">0</definedName>
    <definedName function="false" hidden="false" localSheetId="3" name="solver_nwt" vbProcedure="false">1</definedName>
    <definedName function="false" hidden="false" localSheetId="3" name="solver_opt" vbProcedure="false">R9_23K_GR_log!$P$11</definedName>
    <definedName function="false" hidden="false" localSheetId="3" name="solver_pre" vbProcedure="false">0.000001</definedName>
    <definedName function="false" hidden="false" localSheetId="3" name="solver_rbv" vbProcedure="false">1</definedName>
    <definedName function="false" hidden="false" localSheetId="3" name="solver_rlx" vbProcedure="false">2</definedName>
    <definedName function="false" hidden="false" localSheetId="3" name="solver_rsd" vbProcedure="false">0</definedName>
    <definedName function="false" hidden="false" localSheetId="3" name="solver_scl" vbProcedure="false">1</definedName>
    <definedName function="false" hidden="false" localSheetId="3" name="solver_sho" vbProcedure="false">2</definedName>
    <definedName function="false" hidden="false" localSheetId="3" name="solver_ssz" vbProcedure="false">100</definedName>
    <definedName function="false" hidden="false" localSheetId="3" name="solver_tim" vbProcedure="false">2147483647</definedName>
    <definedName function="false" hidden="false" localSheetId="3" name="solver_tol" vbProcedure="false">0.01</definedName>
    <definedName function="false" hidden="false" localSheetId="3" name="solver_typ" vbProcedure="false">2</definedName>
    <definedName function="false" hidden="false" localSheetId="3" name="solver_val" vbProcedure="false">0</definedName>
    <definedName function="false" hidden="false" localSheetId="3" name="solver_ver" vbProcedure="false">3</definedName>
    <definedName function="false" hidden="false" localSheetId="4" name="solver_adj" vbProcedure="false">R9_23K_LA_prod!$N$14:$N$16</definedName>
    <definedName function="false" hidden="false" localSheetId="4" name="solver_cvg" vbProcedure="false">0.0001</definedName>
    <definedName function="false" hidden="false" localSheetId="4" name="solver_drv" vbProcedure="false">1</definedName>
    <definedName function="false" hidden="false" localSheetId="4" name="solver_eng" vbProcedure="false">1</definedName>
    <definedName function="false" hidden="false" localSheetId="4" name="solver_est" vbProcedure="false">1</definedName>
    <definedName function="false" hidden="false" localSheetId="4" name="solver_itr" vbProcedure="false">2147483647</definedName>
    <definedName function="false" hidden="false" localSheetId="4" name="solver_mip" vbProcedure="false">2147483647</definedName>
    <definedName function="false" hidden="false" localSheetId="4" name="solver_mni" vbProcedure="false">30</definedName>
    <definedName function="false" hidden="false" localSheetId="4" name="solver_mrt" vbProcedure="false">0.075</definedName>
    <definedName function="false" hidden="false" localSheetId="4" name="solver_msl" vbProcedure="false">2</definedName>
    <definedName function="false" hidden="false" localSheetId="4" name="solver_neg" vbProcedure="false">1</definedName>
    <definedName function="false" hidden="false" localSheetId="4" name="solver_nod" vbProcedure="false">2147483647</definedName>
    <definedName function="false" hidden="false" localSheetId="4" name="solver_num" vbProcedure="false">0</definedName>
    <definedName function="false" hidden="false" localSheetId="4" name="solver_nwt" vbProcedure="false">1</definedName>
    <definedName function="false" hidden="false" localSheetId="4" name="solver_opt" vbProcedure="false">R9_23K_LA_prod!$O$11</definedName>
    <definedName function="false" hidden="false" localSheetId="4" name="solver_pre" vbProcedure="false">0.000001</definedName>
    <definedName function="false" hidden="false" localSheetId="4" name="solver_rbv" vbProcedure="false">1</definedName>
    <definedName function="false" hidden="false" localSheetId="4" name="solver_rlx" vbProcedure="false">2</definedName>
    <definedName function="false" hidden="false" localSheetId="4" name="solver_rsd" vbProcedure="false">0</definedName>
    <definedName function="false" hidden="false" localSheetId="4" name="solver_scl" vbProcedure="false">1</definedName>
    <definedName function="false" hidden="false" localSheetId="4" name="solver_sho" vbProcedure="false">2</definedName>
    <definedName function="false" hidden="false" localSheetId="4" name="solver_ssz" vbProcedure="false">100</definedName>
    <definedName function="false" hidden="false" localSheetId="4" name="solver_tim" vbProcedure="false">2147483647</definedName>
    <definedName function="false" hidden="false" localSheetId="4" name="solver_tol" vbProcedure="false">0.01</definedName>
    <definedName function="false" hidden="false" localSheetId="4" name="solver_typ" vbProcedure="false">2</definedName>
    <definedName function="false" hidden="false" localSheetId="4" name="solver_val" vbProcedure="false">0</definedName>
    <definedName function="false" hidden="false" localSheetId="4" name="solver_ver" vbProcedure="false">3</definedName>
    <definedName function="false" hidden="false" localSheetId="5" name="solver_adj" vbProcedure="false">R9_1034_GR_log!$O$11:$O$13</definedName>
    <definedName function="false" hidden="false" localSheetId="5" name="solver_cvg" vbProcedure="false">0.0001</definedName>
    <definedName function="false" hidden="false" localSheetId="5" name="solver_drv" vbProcedure="false">1</definedName>
    <definedName function="false" hidden="false" localSheetId="5" name="solver_eng" vbProcedure="false">1</definedName>
    <definedName function="false" hidden="false" localSheetId="5" name="solver_est" vbProcedure="false">1</definedName>
    <definedName function="false" hidden="false" localSheetId="5" name="solver_itr" vbProcedure="false">2147483647</definedName>
    <definedName function="false" hidden="false" localSheetId="5" name="solver_mip" vbProcedure="false">2147483647</definedName>
    <definedName function="false" hidden="false" localSheetId="5" name="solver_mni" vbProcedure="false">30</definedName>
    <definedName function="false" hidden="false" localSheetId="5" name="solver_mrt" vbProcedure="false">0.075</definedName>
    <definedName function="false" hidden="false" localSheetId="5" name="solver_msl" vbProcedure="false">2</definedName>
    <definedName function="false" hidden="false" localSheetId="5" name="solver_neg" vbProcedure="false">1</definedName>
    <definedName function="false" hidden="false" localSheetId="5" name="solver_nod" vbProcedure="false">2147483647</definedName>
    <definedName function="false" hidden="false" localSheetId="5" name="solver_num" vbProcedure="false">0</definedName>
    <definedName function="false" hidden="false" localSheetId="5" name="solver_nwt" vbProcedure="false">1</definedName>
    <definedName function="false" hidden="false" localSheetId="5" name="solver_opt" vbProcedure="false">R9_1034_GR_log!$P$11</definedName>
    <definedName function="false" hidden="false" localSheetId="5" name="solver_pre" vbProcedure="false">0.000001</definedName>
    <definedName function="false" hidden="false" localSheetId="5" name="solver_rbv" vbProcedure="false">1</definedName>
    <definedName function="false" hidden="false" localSheetId="5" name="solver_rlx" vbProcedure="false">2</definedName>
    <definedName function="false" hidden="false" localSheetId="5" name="solver_rsd" vbProcedure="false">0</definedName>
    <definedName function="false" hidden="false" localSheetId="5" name="solver_scl" vbProcedure="false">1</definedName>
    <definedName function="false" hidden="false" localSheetId="5" name="solver_sho" vbProcedure="false">2</definedName>
    <definedName function="false" hidden="false" localSheetId="5" name="solver_ssz" vbProcedure="false">100</definedName>
    <definedName function="false" hidden="false" localSheetId="5" name="solver_tim" vbProcedure="false">2147483647</definedName>
    <definedName function="false" hidden="false" localSheetId="5" name="solver_tol" vbProcedure="false">0.01</definedName>
    <definedName function="false" hidden="false" localSheetId="5" name="solver_typ" vbProcedure="false">2</definedName>
    <definedName function="false" hidden="false" localSheetId="5" name="solver_val" vbProcedure="false">0</definedName>
    <definedName function="false" hidden="false" localSheetId="5" name="solver_ver" vbProcedure="false">3</definedName>
    <definedName function="false" hidden="false" localSheetId="6" name="solver_adj" vbProcedure="false">R9_1034_LA_prod!$N$14:$N$16</definedName>
    <definedName function="false" hidden="false" localSheetId="6" name="solver_cvg" vbProcedure="false">0.0001</definedName>
    <definedName function="false" hidden="false" localSheetId="6" name="solver_drv" vbProcedure="false">1</definedName>
    <definedName function="false" hidden="false" localSheetId="6" name="solver_eng" vbProcedure="false">1</definedName>
    <definedName function="false" hidden="false" localSheetId="6" name="solver_est" vbProcedure="false">1</definedName>
    <definedName function="false" hidden="false" localSheetId="6" name="solver_itr" vbProcedure="false">2147483647</definedName>
    <definedName function="false" hidden="false" localSheetId="6" name="solver_mip" vbProcedure="false">2147483647</definedName>
    <definedName function="false" hidden="false" localSheetId="6" name="solver_mni" vbProcedure="false">30</definedName>
    <definedName function="false" hidden="false" localSheetId="6" name="solver_mrt" vbProcedure="false">0.075</definedName>
    <definedName function="false" hidden="false" localSheetId="6" name="solver_msl" vbProcedure="false">2</definedName>
    <definedName function="false" hidden="false" localSheetId="6" name="solver_neg" vbProcedure="false">1</definedName>
    <definedName function="false" hidden="false" localSheetId="6" name="solver_nod" vbProcedure="false">2147483647</definedName>
    <definedName function="false" hidden="false" localSheetId="6" name="solver_num" vbProcedure="false">0</definedName>
    <definedName function="false" hidden="false" localSheetId="6" name="solver_nwt" vbProcedure="false">1</definedName>
    <definedName function="false" hidden="false" localSheetId="6" name="solver_opt" vbProcedure="false">R9_1034_LA_prod!$O$11</definedName>
    <definedName function="false" hidden="false" localSheetId="6" name="solver_pre" vbProcedure="false">0.000001</definedName>
    <definedName function="false" hidden="false" localSheetId="6" name="solver_rbv" vbProcedure="false">1</definedName>
    <definedName function="false" hidden="false" localSheetId="6" name="solver_rlx" vbProcedure="false">2</definedName>
    <definedName function="false" hidden="false" localSheetId="6" name="solver_rsd" vbProcedure="false">0</definedName>
    <definedName function="false" hidden="false" localSheetId="6" name="solver_scl" vbProcedure="false">1</definedName>
    <definedName function="false" hidden="false" localSheetId="6" name="solver_sho" vbProcedure="false">2</definedName>
    <definedName function="false" hidden="false" localSheetId="6" name="solver_ssz" vbProcedure="false">100</definedName>
    <definedName function="false" hidden="false" localSheetId="6" name="solver_tim" vbProcedure="false">2147483647</definedName>
    <definedName function="false" hidden="false" localSheetId="6" name="solver_tol" vbProcedure="false">0.01</definedName>
    <definedName function="false" hidden="false" localSheetId="6" name="solver_typ" vbProcedure="false">2</definedName>
    <definedName function="false" hidden="false" localSheetId="6" name="solver_val" vbProcedure="false">0</definedName>
    <definedName function="false" hidden="false" localSheetId="6" name="solver_ver" vbProcedure="false">3</definedName>
    <definedName function="false" hidden="false" localSheetId="7" name="solver_adj" vbProcedure="false">R9_494co_GR_log!$O$11:$O$13</definedName>
    <definedName function="false" hidden="false" localSheetId="7" name="solver_cvg" vbProcedure="false">0.0001</definedName>
    <definedName function="false" hidden="false" localSheetId="7" name="solver_drv" vbProcedure="false">1</definedName>
    <definedName function="false" hidden="false" localSheetId="7" name="solver_eng" vbProcedure="false">1</definedName>
    <definedName function="false" hidden="false" localSheetId="7" name="solver_est" vbProcedure="false">1</definedName>
    <definedName function="false" hidden="false" localSheetId="7" name="solver_itr" vbProcedure="false">2147483647</definedName>
    <definedName function="false" hidden="false" localSheetId="7" name="solver_mip" vbProcedure="false">2147483647</definedName>
    <definedName function="false" hidden="false" localSheetId="7" name="solver_mni" vbProcedure="false">30</definedName>
    <definedName function="false" hidden="false" localSheetId="7" name="solver_mrt" vbProcedure="false">0.075</definedName>
    <definedName function="false" hidden="false" localSheetId="7" name="solver_msl" vbProcedure="false">2</definedName>
    <definedName function="false" hidden="false" localSheetId="7" name="solver_neg" vbProcedure="false">1</definedName>
    <definedName function="false" hidden="false" localSheetId="7" name="solver_nod" vbProcedure="false">2147483647</definedName>
    <definedName function="false" hidden="false" localSheetId="7" name="solver_num" vbProcedure="false">0</definedName>
    <definedName function="false" hidden="false" localSheetId="7" name="solver_nwt" vbProcedure="false">1</definedName>
    <definedName function="false" hidden="false" localSheetId="7" name="solver_opt" vbProcedure="false">R9_494co_GR_log!$P$11</definedName>
    <definedName function="false" hidden="false" localSheetId="7" name="solver_pre" vbProcedure="false">0.000001</definedName>
    <definedName function="false" hidden="false" localSheetId="7" name="solver_rbv" vbProcedure="false">1</definedName>
    <definedName function="false" hidden="false" localSheetId="7" name="solver_rlx" vbProcedure="false">2</definedName>
    <definedName function="false" hidden="false" localSheetId="7" name="solver_rsd" vbProcedure="false">0</definedName>
    <definedName function="false" hidden="false" localSheetId="7" name="solver_scl" vbProcedure="false">1</definedName>
    <definedName function="false" hidden="false" localSheetId="7" name="solver_sho" vbProcedure="false">2</definedName>
    <definedName function="false" hidden="false" localSheetId="7" name="solver_ssz" vbProcedure="false">100</definedName>
    <definedName function="false" hidden="false" localSheetId="7" name="solver_tim" vbProcedure="false">2147483647</definedName>
    <definedName function="false" hidden="false" localSheetId="7" name="solver_tol" vbProcedure="false">0.01</definedName>
    <definedName function="false" hidden="false" localSheetId="7" name="solver_typ" vbProcedure="false">2</definedName>
    <definedName function="false" hidden="false" localSheetId="7" name="solver_val" vbProcedure="false">0</definedName>
    <definedName function="false" hidden="false" localSheetId="7" name="solver_ver" vbProcedure="false">3</definedName>
    <definedName function="false" hidden="false" localSheetId="8" name="solver_adj" vbProcedure="false">R9_494co_LA_prod!$N$14:$N$16</definedName>
    <definedName function="false" hidden="false" localSheetId="8" name="solver_cvg" vbProcedure="false">0.0001</definedName>
    <definedName function="false" hidden="false" localSheetId="8" name="solver_drv" vbProcedure="false">1</definedName>
    <definedName function="false" hidden="false" localSheetId="8" name="solver_eng" vbProcedure="false">1</definedName>
    <definedName function="false" hidden="false" localSheetId="8" name="solver_est" vbProcedure="false">1</definedName>
    <definedName function="false" hidden="false" localSheetId="8" name="solver_itr" vbProcedure="false">2147483647</definedName>
    <definedName function="false" hidden="false" localSheetId="8" name="solver_mip" vbProcedure="false">2147483647</definedName>
    <definedName function="false" hidden="false" localSheetId="8" name="solver_mni" vbProcedure="false">30</definedName>
    <definedName function="false" hidden="false" localSheetId="8" name="solver_mrt" vbProcedure="false">0.075</definedName>
    <definedName function="false" hidden="false" localSheetId="8" name="solver_msl" vbProcedure="false">2</definedName>
    <definedName function="false" hidden="false" localSheetId="8" name="solver_neg" vbProcedure="false">1</definedName>
    <definedName function="false" hidden="false" localSheetId="8" name="solver_nod" vbProcedure="false">2147483647</definedName>
    <definedName function="false" hidden="false" localSheetId="8" name="solver_num" vbProcedure="false">0</definedName>
    <definedName function="false" hidden="false" localSheetId="8" name="solver_nwt" vbProcedure="false">1</definedName>
    <definedName function="false" hidden="false" localSheetId="8" name="solver_opt" vbProcedure="false">R9_494co_LA_prod!$O$11</definedName>
    <definedName function="false" hidden="false" localSheetId="8" name="solver_pre" vbProcedure="false">0.000001</definedName>
    <definedName function="false" hidden="false" localSheetId="8" name="solver_rbv" vbProcedure="false">1</definedName>
    <definedName function="false" hidden="false" localSheetId="8" name="solver_rlx" vbProcedure="false">2</definedName>
    <definedName function="false" hidden="false" localSheetId="8" name="solver_rsd" vbProcedure="false">0</definedName>
    <definedName function="false" hidden="false" localSheetId="8" name="solver_scl" vbProcedure="false">1</definedName>
    <definedName function="false" hidden="false" localSheetId="8" name="solver_sho" vbProcedure="false">2</definedName>
    <definedName function="false" hidden="false" localSheetId="8" name="solver_ssz" vbProcedure="false">100</definedName>
    <definedName function="false" hidden="false" localSheetId="8" name="solver_tim" vbProcedure="false">2147483647</definedName>
    <definedName function="false" hidden="false" localSheetId="8" name="solver_tol" vbProcedure="false">0.01</definedName>
    <definedName function="false" hidden="false" localSheetId="8" name="solver_typ" vbProcedure="false">2</definedName>
    <definedName function="false" hidden="false" localSheetId="8" name="solver_val" vbProcedure="false">0</definedName>
    <definedName function="false" hidden="false" localSheetId="8" name="solver_ver" vbProcedure="false">3</definedName>
    <definedName function="false" hidden="false" localSheetId="9" name="solver_adj" vbProcedure="false">'R9_23Kco_GR_log '!$O$11:$O$13</definedName>
    <definedName function="false" hidden="false" localSheetId="9" name="solver_cvg" vbProcedure="false">0.0001</definedName>
    <definedName function="false" hidden="false" localSheetId="9" name="solver_drv" vbProcedure="false">1</definedName>
    <definedName function="false" hidden="false" localSheetId="9" name="solver_eng" vbProcedure="false">1</definedName>
    <definedName function="false" hidden="false" localSheetId="9" name="solver_est" vbProcedure="false">1</definedName>
    <definedName function="false" hidden="false" localSheetId="9" name="solver_itr" vbProcedure="false">2147483647</definedName>
    <definedName function="false" hidden="false" localSheetId="9" name="solver_mip" vbProcedure="false">2147483647</definedName>
    <definedName function="false" hidden="false" localSheetId="9" name="solver_mni" vbProcedure="false">30</definedName>
    <definedName function="false" hidden="false" localSheetId="9" name="solver_mrt" vbProcedure="false">0.075</definedName>
    <definedName function="false" hidden="false" localSheetId="9" name="solver_msl" vbProcedure="false">2</definedName>
    <definedName function="false" hidden="false" localSheetId="9" name="solver_neg" vbProcedure="false">1</definedName>
    <definedName function="false" hidden="false" localSheetId="9" name="solver_nod" vbProcedure="false">2147483647</definedName>
    <definedName function="false" hidden="false" localSheetId="9" name="solver_num" vbProcedure="false">0</definedName>
    <definedName function="false" hidden="false" localSheetId="9" name="solver_nwt" vbProcedure="false">1</definedName>
    <definedName function="false" hidden="false" localSheetId="9" name="solver_opt" vbProcedure="false">'R9_23Kco_GR_log '!$P$11</definedName>
    <definedName function="false" hidden="false" localSheetId="9" name="solver_pre" vbProcedure="false">0.000001</definedName>
    <definedName function="false" hidden="false" localSheetId="9" name="solver_rbv" vbProcedure="false">1</definedName>
    <definedName function="false" hidden="false" localSheetId="9" name="solver_rlx" vbProcedure="false">2</definedName>
    <definedName function="false" hidden="false" localSheetId="9" name="solver_rsd" vbProcedure="false">0</definedName>
    <definedName function="false" hidden="false" localSheetId="9" name="solver_scl" vbProcedure="false">1</definedName>
    <definedName function="false" hidden="false" localSheetId="9" name="solver_sho" vbProcedure="false">2</definedName>
    <definedName function="false" hidden="false" localSheetId="9" name="solver_ssz" vbProcedure="false">100</definedName>
    <definedName function="false" hidden="false" localSheetId="9" name="solver_tim" vbProcedure="false">2147483647</definedName>
    <definedName function="false" hidden="false" localSheetId="9" name="solver_tol" vbProcedure="false">0.01</definedName>
    <definedName function="false" hidden="false" localSheetId="9" name="solver_typ" vbProcedure="false">2</definedName>
    <definedName function="false" hidden="false" localSheetId="9" name="solver_val" vbProcedure="false">0</definedName>
    <definedName function="false" hidden="false" localSheetId="9" name="solver_ver" vbProcedure="false">3</definedName>
    <definedName function="false" hidden="false" localSheetId="10" name="solver_adj" vbProcedure="false">R9_23Kco_LA_prod!$N$14:$N$16</definedName>
    <definedName function="false" hidden="false" localSheetId="10" name="solver_cvg" vbProcedure="false">0.0001</definedName>
    <definedName function="false" hidden="false" localSheetId="10" name="solver_drv" vbProcedure="false">1</definedName>
    <definedName function="false" hidden="false" localSheetId="10" name="solver_eng" vbProcedure="false">1</definedName>
    <definedName function="false" hidden="false" localSheetId="10" name="solver_est" vbProcedure="false">1</definedName>
    <definedName function="false" hidden="false" localSheetId="10" name="solver_itr" vbProcedure="false">2147483647</definedName>
    <definedName function="false" hidden="false" localSheetId="10" name="solver_mip" vbProcedure="false">2147483647</definedName>
    <definedName function="false" hidden="false" localSheetId="10" name="solver_mni" vbProcedure="false">30</definedName>
    <definedName function="false" hidden="false" localSheetId="10" name="solver_mrt" vbProcedure="false">0.075</definedName>
    <definedName function="false" hidden="false" localSheetId="10" name="solver_msl" vbProcedure="false">2</definedName>
    <definedName function="false" hidden="false" localSheetId="10" name="solver_neg" vbProcedure="false">1</definedName>
    <definedName function="false" hidden="false" localSheetId="10" name="solver_nod" vbProcedure="false">2147483647</definedName>
    <definedName function="false" hidden="false" localSheetId="10" name="solver_num" vbProcedure="false">0</definedName>
    <definedName function="false" hidden="false" localSheetId="10" name="solver_nwt" vbProcedure="false">1</definedName>
    <definedName function="false" hidden="false" localSheetId="10" name="solver_opt" vbProcedure="false">R9_23Kco_LA_prod!$O$11</definedName>
    <definedName function="false" hidden="false" localSheetId="10" name="solver_pre" vbProcedure="false">0.000001</definedName>
    <definedName function="false" hidden="false" localSheetId="10" name="solver_rbv" vbProcedure="false">1</definedName>
    <definedName function="false" hidden="false" localSheetId="10" name="solver_rlx" vbProcedure="false">2</definedName>
    <definedName function="false" hidden="false" localSheetId="10" name="solver_rsd" vbProcedure="false">0</definedName>
    <definedName function="false" hidden="false" localSheetId="10" name="solver_scl" vbProcedure="false">1</definedName>
    <definedName function="false" hidden="false" localSheetId="10" name="solver_sho" vbProcedure="false">2</definedName>
    <definedName function="false" hidden="false" localSheetId="10" name="solver_ssz" vbProcedure="false">100</definedName>
    <definedName function="false" hidden="false" localSheetId="10" name="solver_tim" vbProcedure="false">2147483647</definedName>
    <definedName function="false" hidden="false" localSheetId="10" name="solver_tol" vbProcedure="false">0.01</definedName>
    <definedName function="false" hidden="false" localSheetId="10" name="solver_typ" vbProcedure="false">2</definedName>
    <definedName function="false" hidden="false" localSheetId="10" name="solver_val" vbProcedure="false">0</definedName>
    <definedName function="false" hidden="false" localSheetId="10" name="solver_ver" vbProcedure="false">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<sst xmlns="http://schemas.openxmlformats.org/spreadsheetml/2006/main" count="834" uniqueCount="62">
  <si>
    <t xml:space="preserve">Curve fitting using the Excel solver add-in </t>
  </si>
  <si>
    <t xml:space="preserve">LOGISTIC WITH DELAY</t>
  </si>
  <si>
    <t xml:space="preserve">Datapoints</t>
  </si>
  <si>
    <t xml:space="preserve">WITH LAG</t>
  </si>
  <si>
    <t xml:space="preserve">LOGISTIC WITHOUT DELAY</t>
  </si>
  <si>
    <t xml:space="preserve">WITHOUT LAG</t>
  </si>
  <si>
    <r>
      <rPr>
        <b val="true"/>
        <sz val="11"/>
        <color rgb="FFFF0000"/>
        <rFont val="Arial"/>
        <family val="2"/>
        <charset val="1"/>
      </rPr>
      <t xml:space="preserve">t &lt; t</t>
    </r>
    <r>
      <rPr>
        <b val="true"/>
        <vertAlign val="subscript"/>
        <sz val="11"/>
        <color rgb="FFFF0000"/>
        <rFont val="Arial"/>
        <family val="2"/>
        <charset val="1"/>
      </rPr>
      <t xml:space="preserve">lag</t>
    </r>
  </si>
  <si>
    <r>
      <rPr>
        <b val="true"/>
        <sz val="11"/>
        <color rgb="FFFF0000"/>
        <rFont val="Arial"/>
        <family val="2"/>
        <charset val="1"/>
      </rPr>
      <t xml:space="preserve">N</t>
    </r>
    <r>
      <rPr>
        <b val="true"/>
        <vertAlign val="subscript"/>
        <sz val="11"/>
        <color rgb="FFFF0000"/>
        <rFont val="Arial"/>
        <family val="2"/>
        <charset val="1"/>
      </rPr>
      <t xml:space="preserve">t </t>
    </r>
    <r>
      <rPr>
        <b val="true"/>
        <sz val="11"/>
        <color rgb="FFFF0000"/>
        <rFont val="Arial"/>
        <family val="2"/>
        <charset val="1"/>
      </rPr>
      <t xml:space="preserve">= N</t>
    </r>
    <r>
      <rPr>
        <b val="true"/>
        <vertAlign val="subscript"/>
        <sz val="11"/>
        <color rgb="FFFF0000"/>
        <rFont val="Arial"/>
        <family val="2"/>
        <charset val="1"/>
      </rPr>
      <t xml:space="preserve">0</t>
    </r>
  </si>
  <si>
    <r>
      <rPr>
        <b val="true"/>
        <sz val="11"/>
        <color rgb="FFFF0000"/>
        <rFont val="Arial"/>
        <family val="2"/>
        <charset val="1"/>
      </rPr>
      <t xml:space="preserve">N</t>
    </r>
    <r>
      <rPr>
        <b val="true"/>
        <vertAlign val="subscript"/>
        <sz val="11"/>
        <color rgb="FFFF0000"/>
        <rFont val="Arial"/>
        <family val="2"/>
        <charset val="1"/>
      </rPr>
      <t xml:space="preserve">t </t>
    </r>
    <r>
      <rPr>
        <b val="true"/>
        <sz val="11"/>
        <color rgb="FFFF0000"/>
        <rFont val="Arial"/>
        <family val="2"/>
        <charset val="1"/>
      </rPr>
      <t xml:space="preserve">= Nmax / [1+((N</t>
    </r>
    <r>
      <rPr>
        <b val="true"/>
        <vertAlign val="subscript"/>
        <sz val="11"/>
        <color rgb="FFFF0000"/>
        <rFont val="Arial"/>
        <family val="2"/>
        <charset val="1"/>
      </rPr>
      <t xml:space="preserve">max/</t>
    </r>
    <r>
      <rPr>
        <b val="true"/>
        <sz val="11"/>
        <color rgb="FFFF0000"/>
        <rFont val="Arial"/>
        <family val="2"/>
        <charset val="1"/>
      </rPr>
      <t xml:space="preserve">N</t>
    </r>
    <r>
      <rPr>
        <b val="true"/>
        <vertAlign val="subscript"/>
        <sz val="11"/>
        <color rgb="FFFF0000"/>
        <rFont val="Arial"/>
        <family val="2"/>
        <charset val="1"/>
      </rPr>
      <t xml:space="preserve">0</t>
    </r>
    <r>
      <rPr>
        <b val="true"/>
        <sz val="11"/>
        <color rgb="FFFF0000"/>
        <rFont val="Arial"/>
        <family val="2"/>
        <charset val="1"/>
      </rPr>
      <t xml:space="preserve">)-1)*exp(-µ*t)]</t>
    </r>
  </si>
  <si>
    <r>
      <rPr>
        <b val="true"/>
        <sz val="11"/>
        <color rgb="FFFF0000"/>
        <rFont val="Arial"/>
        <family val="2"/>
        <charset val="1"/>
      </rPr>
      <t xml:space="preserve">t ≥ t</t>
    </r>
    <r>
      <rPr>
        <b val="true"/>
        <vertAlign val="subscript"/>
        <sz val="11"/>
        <color rgb="FFFF0000"/>
        <rFont val="Arial"/>
        <family val="2"/>
        <charset val="1"/>
      </rPr>
      <t xml:space="preserve">lag</t>
    </r>
  </si>
  <si>
    <r>
      <rPr>
        <b val="true"/>
        <sz val="11"/>
        <color rgb="FFFF0000"/>
        <rFont val="Arial"/>
        <family val="2"/>
        <charset val="1"/>
      </rPr>
      <t xml:space="preserve">N</t>
    </r>
    <r>
      <rPr>
        <b val="true"/>
        <vertAlign val="subscript"/>
        <sz val="11"/>
        <color rgb="FFFF0000"/>
        <rFont val="Arial"/>
        <family val="2"/>
        <charset val="1"/>
      </rPr>
      <t xml:space="preserve">t </t>
    </r>
    <r>
      <rPr>
        <b val="true"/>
        <sz val="11"/>
        <color rgb="FFFF0000"/>
        <rFont val="Arial"/>
        <family val="2"/>
        <charset val="1"/>
      </rPr>
      <t xml:space="preserve">= Nmax / [1+((N</t>
    </r>
    <r>
      <rPr>
        <b val="true"/>
        <vertAlign val="subscript"/>
        <sz val="11"/>
        <color rgb="FFFF0000"/>
        <rFont val="Arial"/>
        <family val="2"/>
        <charset val="1"/>
      </rPr>
      <t xml:space="preserve">max/</t>
    </r>
    <r>
      <rPr>
        <b val="true"/>
        <sz val="11"/>
        <color rgb="FFFF0000"/>
        <rFont val="Arial"/>
        <family val="2"/>
        <charset val="1"/>
      </rPr>
      <t xml:space="preserve">N</t>
    </r>
    <r>
      <rPr>
        <b val="true"/>
        <vertAlign val="subscript"/>
        <sz val="11"/>
        <color rgb="FFFF0000"/>
        <rFont val="Arial"/>
        <family val="2"/>
        <charset val="1"/>
      </rPr>
      <t xml:space="preserve">0</t>
    </r>
    <r>
      <rPr>
        <b val="true"/>
        <sz val="11"/>
        <color rgb="FFFF0000"/>
        <rFont val="Arial"/>
        <family val="2"/>
        <charset val="1"/>
      </rPr>
      <t xml:space="preserve">)-1)*exp(-µ*(t-t</t>
    </r>
    <r>
      <rPr>
        <b val="true"/>
        <vertAlign val="subscript"/>
        <sz val="11"/>
        <color rgb="FFFF0000"/>
        <rFont val="Arial"/>
        <family val="2"/>
        <charset val="1"/>
      </rPr>
      <t xml:space="preserve">lag</t>
    </r>
    <r>
      <rPr>
        <b val="true"/>
        <sz val="11"/>
        <color rgb="FFFF0000"/>
        <rFont val="Arial"/>
        <family val="2"/>
        <charset val="1"/>
      </rPr>
      <t xml:space="preserve">))]</t>
    </r>
  </si>
  <si>
    <t xml:space="preserve">Parameters in model</t>
  </si>
  <si>
    <t xml:space="preserve">Model parameter values</t>
  </si>
  <si>
    <t xml:space="preserve">Mean Sum of Squared Error</t>
  </si>
  <si>
    <t xml:space="preserve">Lag time (d)</t>
  </si>
  <si>
    <t xml:space="preserve">RSS (Residual sum of squares)</t>
  </si>
  <si>
    <t xml:space="preserve">Lag time (h)</t>
  </si>
  <si>
    <r>
      <rPr>
        <b val="true"/>
        <sz val="11"/>
        <rFont val="Arial"/>
        <family val="2"/>
        <charset val="1"/>
      </rPr>
      <t xml:space="preserve">Log(N</t>
    </r>
    <r>
      <rPr>
        <b val="true"/>
        <vertAlign val="subscript"/>
        <sz val="11"/>
        <rFont val="Arial"/>
        <family val="2"/>
        <charset val="1"/>
      </rPr>
      <t xml:space="preserve">0, </t>
    </r>
    <r>
      <rPr>
        <b val="true"/>
        <sz val="11"/>
        <rFont val="Arial"/>
        <family val="2"/>
        <charset val="1"/>
      </rPr>
      <t xml:space="preserve">cfu/g) </t>
    </r>
  </si>
  <si>
    <r>
      <rPr>
        <b val="true"/>
        <sz val="11"/>
        <rFont val="Arial"/>
        <family val="2"/>
        <charset val="1"/>
      </rPr>
      <t xml:space="preserve">µ</t>
    </r>
    <r>
      <rPr>
        <b val="true"/>
        <vertAlign val="subscript"/>
        <sz val="11"/>
        <rFont val="Arial"/>
        <family val="2"/>
        <charset val="1"/>
      </rPr>
      <t xml:space="preserve">max </t>
    </r>
    <r>
      <rPr>
        <b val="true"/>
        <sz val="11"/>
        <rFont val="Arial"/>
        <family val="2"/>
        <charset val="1"/>
      </rPr>
      <t xml:space="preserve">(1/d)</t>
    </r>
  </si>
  <si>
    <t xml:space="preserve">RMSE (Root mean square erroor) </t>
  </si>
  <si>
    <t xml:space="preserve">R-squared</t>
  </si>
  <si>
    <t xml:space="preserve">SSTO</t>
  </si>
  <si>
    <r>
      <rPr>
        <b val="true"/>
        <sz val="11"/>
        <rFont val="Arial"/>
        <family val="2"/>
        <charset val="1"/>
      </rPr>
      <t xml:space="preserve">µ</t>
    </r>
    <r>
      <rPr>
        <b val="true"/>
        <vertAlign val="subscript"/>
        <sz val="11"/>
        <rFont val="Arial"/>
        <family val="2"/>
        <charset val="1"/>
      </rPr>
      <t xml:space="preserve">max </t>
    </r>
    <r>
      <rPr>
        <b val="true"/>
        <sz val="11"/>
        <rFont val="Arial"/>
        <family val="2"/>
        <charset val="1"/>
      </rPr>
      <t xml:space="preserve">(1/h)</t>
    </r>
  </si>
  <si>
    <r>
      <rPr>
        <b val="true"/>
        <sz val="11"/>
        <rFont val="Arial"/>
        <family val="2"/>
        <charset val="1"/>
      </rPr>
      <t xml:space="preserve">Log(N</t>
    </r>
    <r>
      <rPr>
        <b val="true"/>
        <vertAlign val="subscript"/>
        <sz val="11"/>
        <rFont val="Arial"/>
        <family val="2"/>
        <charset val="1"/>
      </rPr>
      <t xml:space="preserve">max</t>
    </r>
    <r>
      <rPr>
        <b val="true"/>
        <sz val="11"/>
        <rFont val="Arial"/>
        <family val="2"/>
        <charset val="1"/>
      </rPr>
      <t xml:space="preserve">, cfu/g) </t>
    </r>
  </si>
  <si>
    <t xml:space="preserve">yield</t>
  </si>
  <si>
    <t xml:space="preserve">R-squared adjusted</t>
  </si>
  <si>
    <t xml:space="preserve">R-squared adjusted (anna)</t>
  </si>
  <si>
    <t xml:space="preserve">Growth curve data</t>
  </si>
  <si>
    <t xml:space="preserve">Growth model and residuals</t>
  </si>
  <si>
    <t xml:space="preserve">Growth curve data and fitted model</t>
  </si>
  <si>
    <t xml:space="preserve">Yield (Yp)</t>
  </si>
  <si>
    <t xml:space="preserve">LA (g/L)</t>
  </si>
  <si>
    <t xml:space="preserve">Time, d(1)</t>
  </si>
  <si>
    <t xml:space="preserve">Log cfu/g</t>
  </si>
  <si>
    <t xml:space="preserve">SSTO-aid</t>
  </si>
  <si>
    <r>
      <rPr>
        <b val="true"/>
        <sz val="10"/>
        <rFont val="Arial"/>
        <family val="2"/>
        <charset val="1"/>
      </rPr>
      <t xml:space="preserve">(Residual)</t>
    </r>
    <r>
      <rPr>
        <b val="true"/>
        <vertAlign val="superscript"/>
        <sz val="10"/>
        <rFont val="Arial"/>
        <family val="2"/>
        <charset val="1"/>
      </rPr>
      <t xml:space="preserve">2</t>
    </r>
  </si>
  <si>
    <t xml:space="preserve">Time, h (1)</t>
  </si>
  <si>
    <t xml:space="preserve">4,99</t>
  </si>
  <si>
    <t xml:space="preserve">F-test</t>
  </si>
  <si>
    <t xml:space="preserve">F</t>
  </si>
  <si>
    <t xml:space="preserve">without lag </t>
  </si>
  <si>
    <t xml:space="preserve">RRS-NH</t>
  </si>
  <si>
    <t xml:space="preserve">F0.05 tabulated</t>
  </si>
  <si>
    <t xml:space="preserve">df-NH</t>
  </si>
  <si>
    <t xml:space="preserve">F0.01 tabulated</t>
  </si>
  <si>
    <t xml:space="preserve">with lag</t>
  </si>
  <si>
    <t xml:space="preserve">RRS-AH</t>
  </si>
  <si>
    <t xml:space="preserve">Lag significantly different</t>
  </si>
  <si>
    <t xml:space="preserve">df-AH</t>
  </si>
  <si>
    <t xml:space="preserve">t &lt; T0</t>
  </si>
  <si>
    <r>
      <rPr>
        <b val="true"/>
        <sz val="11"/>
        <color rgb="FFFF0000"/>
        <rFont val="Arial"/>
        <family val="2"/>
        <charset val="1"/>
      </rPr>
      <t xml:space="preserve">P</t>
    </r>
    <r>
      <rPr>
        <b val="true"/>
        <vertAlign val="subscript"/>
        <sz val="11"/>
        <color rgb="FFFF0000"/>
        <rFont val="Arial"/>
        <family val="2"/>
        <charset val="1"/>
      </rPr>
      <t xml:space="preserve">t </t>
    </r>
    <r>
      <rPr>
        <b val="true"/>
        <sz val="11"/>
        <color rgb="FFFF0000"/>
        <rFont val="Arial"/>
        <family val="2"/>
        <charset val="1"/>
      </rPr>
      <t xml:space="preserve">= P</t>
    </r>
    <r>
      <rPr>
        <b val="true"/>
        <vertAlign val="subscript"/>
        <sz val="11"/>
        <color rgb="FFFF0000"/>
        <rFont val="Arial"/>
        <family val="2"/>
        <charset val="1"/>
      </rPr>
      <t xml:space="preserve">0</t>
    </r>
  </si>
  <si>
    <t xml:space="preserve">t ≥ T0</t>
  </si>
  <si>
    <r>
      <rPr>
        <b val="true"/>
        <sz val="11"/>
        <color rgb="FFFF0000"/>
        <rFont val="Arial"/>
        <family val="2"/>
        <charset val="1"/>
      </rPr>
      <t xml:space="preserve">P</t>
    </r>
    <r>
      <rPr>
        <b val="true"/>
        <vertAlign val="subscript"/>
        <sz val="11"/>
        <color rgb="FFFF0000"/>
        <rFont val="Arial"/>
        <family val="2"/>
        <charset val="1"/>
      </rPr>
      <t xml:space="preserve">t </t>
    </r>
    <r>
      <rPr>
        <b val="true"/>
        <sz val="11"/>
        <color rgb="FFFF0000"/>
        <rFont val="Arial"/>
        <family val="2"/>
        <charset val="1"/>
      </rPr>
      <t xml:space="preserve">= Y</t>
    </r>
    <r>
      <rPr>
        <b val="true"/>
        <vertAlign val="subscript"/>
        <sz val="11"/>
        <color rgb="FFFF0000"/>
        <rFont val="Arial"/>
        <family val="2"/>
        <charset val="1"/>
      </rPr>
      <t xml:space="preserve">p</t>
    </r>
    <r>
      <rPr>
        <b val="true"/>
        <sz val="11"/>
        <color rgb="FFFF0000"/>
        <rFont val="Arial"/>
        <family val="2"/>
        <charset val="1"/>
      </rPr>
      <t xml:space="preserve">*[Nmax / [1+((N</t>
    </r>
    <r>
      <rPr>
        <b val="true"/>
        <vertAlign val="subscript"/>
        <sz val="11"/>
        <color rgb="FFFF0000"/>
        <rFont val="Arial"/>
        <family val="2"/>
        <charset val="1"/>
      </rPr>
      <t xml:space="preserve">max/</t>
    </r>
    <r>
      <rPr>
        <b val="true"/>
        <sz val="11"/>
        <color rgb="FFFF0000"/>
        <rFont val="Arial"/>
        <family val="2"/>
        <charset val="1"/>
      </rPr>
      <t xml:space="preserve">N</t>
    </r>
    <r>
      <rPr>
        <b val="true"/>
        <vertAlign val="subscript"/>
        <sz val="11"/>
        <color rgb="FFFF0000"/>
        <rFont val="Arial"/>
        <family val="2"/>
        <charset val="1"/>
      </rPr>
      <t xml:space="preserve">0</t>
    </r>
    <r>
      <rPr>
        <b val="true"/>
        <sz val="11"/>
        <color rgb="FFFF0000"/>
        <rFont val="Arial"/>
        <family val="2"/>
        <charset val="1"/>
      </rPr>
      <t xml:space="preserve">)-1)*exp(-µ*(t-T</t>
    </r>
    <r>
      <rPr>
        <b val="true"/>
        <vertAlign val="subscript"/>
        <sz val="11"/>
        <color rgb="FFFF0000"/>
        <rFont val="Arial"/>
        <family val="2"/>
        <charset val="1"/>
      </rPr>
      <t xml:space="preserve">d</t>
    </r>
    <r>
      <rPr>
        <b val="true"/>
        <sz val="11"/>
        <color rgb="FFFF0000"/>
        <rFont val="Arial"/>
        <family val="2"/>
        <charset val="1"/>
      </rPr>
      <t xml:space="preserve">)]]-N0]</t>
    </r>
  </si>
  <si>
    <t xml:space="preserve">Yp (mg/log cfu*h)</t>
  </si>
  <si>
    <t xml:space="preserve">Td</t>
  </si>
  <si>
    <r>
      <rPr>
        <sz val="11"/>
        <color rgb="FF000000"/>
        <rFont val="Calibri"/>
        <family val="2"/>
        <charset val="1"/>
      </rPr>
      <t xml:space="preserve">P</t>
    </r>
    <r>
      <rPr>
        <vertAlign val="subscript"/>
        <sz val="11"/>
        <color rgb="FF000000"/>
        <rFont val="Calibri"/>
        <family val="2"/>
        <charset val="1"/>
      </rPr>
      <t xml:space="preserve">0</t>
    </r>
  </si>
  <si>
    <t xml:space="preserve">Growth model</t>
  </si>
  <si>
    <t xml:space="preserve">Lactic acid data</t>
  </si>
  <si>
    <t xml:space="preserve">Lactic acid model and residuals</t>
  </si>
  <si>
    <t xml:space="preserve">LA pred</t>
  </si>
  <si>
    <t xml:space="preserve">Log cfu/mL</t>
  </si>
  <si>
    <t xml:space="preserve">LA (mg/mL)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</si>
</sst>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"/>
    <numFmt numFmtId="166" formatCode="0.00"/>
    <numFmt numFmtId="167" formatCode="0.0000"/>
    <numFmt numFmtId="168" formatCode="General"/>
  </numFmts>
  <fonts count="3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36"/>
      <name val="Arial"/>
      <family val="2"/>
      <charset val="1"/>
    </font>
    <font>
      <b val="true"/>
      <sz val="12"/>
      <name val="Arial"/>
      <family val="2"/>
      <charset val="1"/>
    </font>
    <font>
      <sz val="11"/>
      <name val="Arial"/>
      <family val="2"/>
      <charset val="1"/>
    </font>
    <font>
      <b val="true"/>
      <sz val="10"/>
      <name val="Arial"/>
      <family val="2"/>
      <charset val="1"/>
    </font>
    <font>
      <b val="true"/>
      <sz val="11"/>
      <color rgb="FFFF0000"/>
      <name val="Arial"/>
      <family val="2"/>
      <charset val="1"/>
    </font>
    <font>
      <b val="true"/>
      <vertAlign val="subscript"/>
      <sz val="11"/>
      <color rgb="FFFF0000"/>
      <name val="Arial"/>
      <family val="2"/>
      <charset val="1"/>
    </font>
    <font>
      <b val="true"/>
      <sz val="11"/>
      <name val="Arial"/>
      <family val="2"/>
      <charset val="1"/>
    </font>
    <font>
      <b val="true"/>
      <sz val="10"/>
      <color rgb="FFFF0000"/>
      <name val="Arial"/>
      <family val="2"/>
      <charset val="1"/>
    </font>
    <font>
      <b val="true"/>
      <sz val="11"/>
      <color rgb="FF000000"/>
      <name val="Calibri"/>
      <family val="2"/>
      <charset val="1"/>
    </font>
    <font>
      <b val="true"/>
      <vertAlign val="subscript"/>
      <sz val="11"/>
      <name val="Arial"/>
      <family val="2"/>
      <charset val="1"/>
    </font>
    <font>
      <b val="true"/>
      <sz val="11"/>
      <color rgb="FF0000FF"/>
      <name val="Arial"/>
      <family val="2"/>
      <charset val="1"/>
    </font>
    <font>
      <b val="true"/>
      <sz val="11"/>
      <color rgb="FFFF0000"/>
      <name val="Calibri"/>
      <family val="2"/>
      <charset val="1"/>
    </font>
    <font>
      <sz val="10"/>
      <color rgb="FFFF0000"/>
      <name val="Arial"/>
      <family val="2"/>
      <charset val="1"/>
    </font>
    <font>
      <b val="true"/>
      <vertAlign val="superscript"/>
      <sz val="10"/>
      <name val="Arial"/>
      <family val="2"/>
      <charset val="1"/>
    </font>
    <font>
      <b val="true"/>
      <sz val="9"/>
      <name val="Calibri"/>
      <family val="2"/>
      <charset val="1"/>
    </font>
    <font>
      <sz val="9"/>
      <name val="Calibri"/>
      <family val="2"/>
      <charset val="1"/>
    </font>
    <font>
      <sz val="10"/>
      <name val="Arial"/>
      <family val="2"/>
      <charset val="1"/>
    </font>
    <font>
      <b val="true"/>
      <sz val="16"/>
      <name val="Arial"/>
      <family val="2"/>
      <charset val="1"/>
    </font>
    <font>
      <sz val="12"/>
      <name val="Arial"/>
      <family val="2"/>
      <charset val="1"/>
    </font>
    <font>
      <b val="true"/>
      <sz val="20"/>
      <color rgb="FFFF0000"/>
      <name val="Arial"/>
      <family val="2"/>
      <charset val="1"/>
    </font>
    <font>
      <b val="true"/>
      <sz val="18"/>
      <color rgb="FF000000"/>
      <name val="Calibri"/>
      <family val="2"/>
    </font>
    <font>
      <sz val="9"/>
      <color rgb="FF333333"/>
      <name val="Calibri"/>
      <family val="2"/>
    </font>
    <font>
      <b val="true"/>
      <sz val="10"/>
      <color rgb="FF000000"/>
      <name val="Calibri"/>
      <family val="2"/>
    </font>
    <font>
      <sz val="9"/>
      <color rgb="FF595959"/>
      <name val="Calibri"/>
      <family val="2"/>
    </font>
    <font>
      <sz val="10"/>
      <color rgb="FF000000"/>
      <name val="Calibri"/>
      <family val="2"/>
    </font>
    <font>
      <vertAlign val="subscript"/>
      <sz val="11"/>
      <color rgb="FF000000"/>
      <name val="Calibri"/>
      <family val="2"/>
      <charset val="1"/>
    </font>
    <font>
      <sz val="11"/>
      <name val="Calibri"/>
      <family val="0"/>
    </font>
    <font>
      <b val="true"/>
      <vertAlign val="subscript"/>
      <sz val="10"/>
      <color rgb="FF000000"/>
      <name val="Calibri"/>
      <family val="2"/>
    </font>
    <font>
      <sz val="9"/>
      <color rgb="FF000000"/>
      <name val="Calibri"/>
      <family val="2"/>
    </font>
    <font>
      <sz val="11"/>
      <name val="Calibri"/>
      <family val="2"/>
      <charset val="1"/>
    </font>
  </fonts>
  <fills count="6">
    <fill>
      <patternFill patternType="none"/>
    </fill>
    <fill>
      <patternFill patternType="gray125"/>
    </fill>
    <fill>
      <patternFill patternType="solid">
        <fgColor rgb="FF00B050"/>
        <bgColor rgb="FF008080"/>
      </patternFill>
    </fill>
    <fill>
      <patternFill patternType="solid">
        <fgColor rgb="FFFFFF00"/>
        <bgColor rgb="FFFFFF00"/>
      </patternFill>
    </fill>
    <fill>
      <patternFill patternType="solid">
        <fgColor rgb="FFF2F2F2"/>
        <bgColor rgb="FFFFFFCC"/>
      </patternFill>
    </fill>
    <fill>
      <patternFill patternType="solid">
        <fgColor rgb="FFD9D9D9"/>
        <bgColor rgb="FFF2F2F2"/>
      </patternFill>
    </fill>
  </fills>
  <borders count="16">
    <border diagonalUp="false" diagonalDown="false">
      <left/>
      <right/>
      <top/>
      <bottom/>
      <diagonal/>
    </border>
    <border diagonalUp="false" diagonalDown="false">
      <left style="medium"/>
      <right/>
      <top style="medium"/>
      <bottom/>
      <diagonal/>
    </border>
    <border diagonalUp="false" diagonalDown="false">
      <left/>
      <right/>
      <top style="medium"/>
      <bottom/>
      <diagonal/>
    </border>
    <border diagonalUp="false" diagonalDown="false">
      <left/>
      <right style="medium"/>
      <top style="medium"/>
      <bottom/>
      <diagonal/>
    </border>
    <border diagonalUp="false" diagonalDown="false">
      <left style="medium"/>
      <right/>
      <top/>
      <bottom/>
      <diagonal/>
    </border>
    <border diagonalUp="false" diagonalDown="false">
      <left/>
      <right style="medium"/>
      <top/>
      <bottom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 style="medium"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/>
      <right/>
      <top/>
      <bottom style="thin"/>
      <diagonal/>
    </border>
    <border diagonalUp="false" diagonalDown="false">
      <left style="medium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/>
      <top/>
      <bottom style="medium"/>
      <diagonal/>
    </border>
    <border diagonalUp="false" diagonalDown="false">
      <left style="thin"/>
      <right/>
      <top style="thin"/>
      <bottom style="thin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7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3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2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0" fillId="3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3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0" fillId="3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0" fillId="3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7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10" fillId="3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0" fillId="3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0" fillId="3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5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7" fillId="0" borderId="1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0" fillId="0" borderId="13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8" fillId="2" borderId="4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1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9" fillId="0" borderId="5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5" borderId="1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8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1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1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2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18" fillId="2" borderId="1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9" fillId="0" borderId="3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3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12" xfId="20"/>
  </cellStyles>
  <colors>
    <indexedColors>
      <rgbColor rgb="FF000000"/>
      <rgbColor rgb="FFF2F2F2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B8B8B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ED7D31"/>
      <rgbColor rgb="FF595959"/>
      <rgbColor rgb="FFA5A5A5"/>
      <rgbColor rgb="FF003366"/>
      <rgbColor rgb="FF00B050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Relationship Id="rId13" Type="http://schemas.openxmlformats.org/officeDocument/2006/relationships/externalLink" Target="externalLinks/externalLink1.xml"/><Relationship Id="rId14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lang="es-ES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lang="es-ES" sz="1800" spc="-1" strike="noStrike">
                <a:solidFill>
                  <a:srgbClr val="000000"/>
                </a:solidFill>
                <a:latin typeface="Calibri"/>
              </a:rPr>
              <a:t>Aerobic with delay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63036136440392"/>
          <c:y val="0.222890637050748"/>
          <c:w val="0.602836879432624"/>
          <c:h val="0.541107511954342"/>
        </c:manualLayout>
      </c:layout>
      <c:scatterChart>
        <c:scatterStyle val="lineMarker"/>
        <c:varyColors val="0"/>
        <c:ser>
          <c:idx val="0"/>
          <c:order val="0"/>
          <c:spPr>
            <a:solidFill>
              <a:srgbClr val="ff0000"/>
            </a:solidFill>
            <a:ln w="28440">
              <a:noFill/>
            </a:ln>
          </c:spPr>
          <c:marker>
            <c:symbol val="circle"/>
            <c:size val="5"/>
            <c:spPr>
              <a:solidFill>
                <a:srgbClr val="ff0000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R9_494_GR_log!$C$21:$C$29</c:f>
              <c:numCache>
                <c:formatCode>General</c:formatCode>
                <c:ptCount val="9"/>
                <c:pt idx="0">
                  <c:v>1</c:v>
                </c:pt>
                <c:pt idx="1">
                  <c:v>3</c:v>
                </c:pt>
                <c:pt idx="2">
                  <c:v>6</c:v>
                </c:pt>
                <c:pt idx="3">
                  <c:v>9</c:v>
                </c:pt>
                <c:pt idx="4">
                  <c:v>12.17</c:v>
                </c:pt>
                <c:pt idx="5">
                  <c:v>24.17</c:v>
                </c:pt>
                <c:pt idx="6">
                  <c:v>27.08</c:v>
                </c:pt>
                <c:pt idx="7">
                  <c:v>30.08</c:v>
                </c:pt>
                <c:pt idx="8">
                  <c:v>33.08</c:v>
                </c:pt>
              </c:numCache>
            </c:numRef>
          </c:xVal>
          <c:yVal>
            <c:numRef>
              <c:f>R9_494_GR_log!$D$21:$D$29</c:f>
              <c:numCache>
                <c:formatCode>General</c:formatCode>
                <c:ptCount val="9"/>
                <c:pt idx="1">
                  <c:v>5.4</c:v>
                </c:pt>
                <c:pt idx="2">
                  <c:v>6</c:v>
                </c:pt>
                <c:pt idx="3">
                  <c:v>6.4</c:v>
                </c:pt>
                <c:pt idx="4">
                  <c:v>6.83</c:v>
                </c:pt>
                <c:pt idx="5">
                  <c:v>8.46</c:v>
                </c:pt>
                <c:pt idx="6">
                  <c:v>8.3</c:v>
                </c:pt>
                <c:pt idx="7">
                  <c:v>8.29</c:v>
                </c:pt>
                <c:pt idx="8">
                  <c:v>8.33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"25ºC predicted values"</c:f>
              <c:strCache>
                <c:ptCount val="1"/>
                <c:pt idx="0">
                  <c:v>25ºC predicted values</c:v>
                </c:pt>
              </c:strCache>
            </c:strRef>
          </c:tx>
          <c:spPr>
            <a:solidFill>
              <a:srgbClr val="ff0000"/>
            </a:solidFill>
            <a:ln w="28440">
              <a:solidFill>
                <a:srgbClr val="ff0000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R9_494_GR_log!$C$21:$C$34</c:f>
              <c:numCache>
                <c:formatCode>General</c:formatCode>
                <c:ptCount val="14"/>
                <c:pt idx="0">
                  <c:v>1</c:v>
                </c:pt>
                <c:pt idx="1">
                  <c:v>3</c:v>
                </c:pt>
                <c:pt idx="2">
                  <c:v>6</c:v>
                </c:pt>
                <c:pt idx="3">
                  <c:v>9</c:v>
                </c:pt>
                <c:pt idx="4">
                  <c:v>12.17</c:v>
                </c:pt>
                <c:pt idx="5">
                  <c:v>24.17</c:v>
                </c:pt>
                <c:pt idx="6">
                  <c:v>27.08</c:v>
                </c:pt>
                <c:pt idx="7">
                  <c:v>30.08</c:v>
                </c:pt>
                <c:pt idx="8">
                  <c:v>33.08</c:v>
                </c:pt>
                <c:pt idx="9">
                  <c:v>35.83</c:v>
                </c:pt>
                <c:pt idx="10">
                  <c:v>48.25</c:v>
                </c:pt>
                <c:pt idx="11">
                  <c:v>54.08</c:v>
                </c:pt>
              </c:numCache>
            </c:numRef>
          </c:xVal>
          <c:yVal>
            <c:numRef>
              <c:f>R9_494_GR_log!$F$21:$F$36</c:f>
              <c:numCache>
                <c:formatCode>General</c:formatCode>
                <c:ptCount val="16"/>
                <c:pt idx="0">
                  <c:v>5.03069547806221</c:v>
                </c:pt>
                <c:pt idx="1">
                  <c:v>5.37644297396561</c:v>
                </c:pt>
                <c:pt idx="2">
                  <c:v>5.89435958556991</c:v>
                </c:pt>
                <c:pt idx="3">
                  <c:v>6.40976669554224</c:v>
                </c:pt>
                <c:pt idx="4">
                  <c:v>6.94532347877272</c:v>
                </c:pt>
                <c:pt idx="5">
                  <c:v>8.25722775019816</c:v>
                </c:pt>
                <c:pt idx="6">
                  <c:v>8.3094588179942</c:v>
                </c:pt>
                <c:pt idx="7">
                  <c:v>8.32752219041383</c:v>
                </c:pt>
                <c:pt idx="8">
                  <c:v>8.33314112346068</c:v>
                </c:pt>
                <c:pt idx="9">
                  <c:v>8.33477819264785</c:v>
                </c:pt>
                <c:pt idx="10">
                  <c:v>8.33559705182069</c:v>
                </c:pt>
                <c:pt idx="11">
                  <c:v>8.33560233853636</c:v>
                </c:pt>
              </c:numCache>
            </c:numRef>
          </c:yVal>
          <c:smooth val="0"/>
        </c:ser>
        <c:axId val="7320287"/>
        <c:axId val="57554362"/>
      </c:scatterChart>
      <c:valAx>
        <c:axId val="7320287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lang="es-ES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lang="es-ES" sz="1000" spc="-1" strike="noStrike">
                    <a:solidFill>
                      <a:srgbClr val="000000"/>
                    </a:solidFill>
                    <a:latin typeface="Calibri"/>
                  </a:rPr>
                  <a:t>Time (d)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" sourceLinked="0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333333"/>
                </a:solidFill>
                <a:latin typeface="Calibri"/>
                <a:ea typeface="Calibri"/>
              </a:defRPr>
            </a:pPr>
          </a:p>
        </c:txPr>
        <c:crossAx val="57554362"/>
        <c:crosses val="autoZero"/>
        <c:crossBetween val="midCat"/>
      </c:valAx>
      <c:valAx>
        <c:axId val="57554362"/>
        <c:scaling>
          <c:orientation val="minMax"/>
        </c:scaling>
        <c:delete val="0"/>
        <c:axPos val="l"/>
        <c:title>
          <c:tx>
            <c:rich>
              <a:bodyPr rot="-5400000"/>
              <a:lstStyle/>
              <a:p>
                <a:pPr>
                  <a:defRPr b="1" lang="es-ES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lang="es-ES" sz="1000" spc="-1" strike="noStrike">
                    <a:solidFill>
                      <a:srgbClr val="000000"/>
                    </a:solidFill>
                    <a:latin typeface="Calibri"/>
                  </a:rPr>
                  <a:t>Log (N)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7320287"/>
        <c:crosses val="autoZero"/>
        <c:crossBetween val="midCat"/>
      </c:valAx>
      <c:spPr>
        <a:noFill/>
        <a:ln w="25560">
          <a:noFill/>
        </a:ln>
      </c:spPr>
    </c:plotArea>
    <c:legend>
      <c:legendPos val="r"/>
      <c:layout>
        <c:manualLayout>
          <c:xMode val="edge"/>
          <c:yMode val="edge"/>
          <c:x val="0.777159796201945"/>
          <c:y val="0.257352950403112"/>
          <c:w val="0.20401667438629"/>
          <c:h val="0.485161506206147"/>
        </c:manualLayout>
      </c:layout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lang="es-ES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lang="es-ES" sz="1800" spc="-1" strike="noStrike">
                <a:solidFill>
                  <a:srgbClr val="000000"/>
                </a:solidFill>
                <a:latin typeface="Calibri"/>
              </a:rPr>
              <a:t>Aerobic without delay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63036136440392"/>
          <c:y val="0.215292920482628"/>
          <c:w val="0.612293144208038"/>
          <c:h val="0.556912341910161"/>
        </c:manualLayout>
      </c:layout>
      <c:scatterChart>
        <c:scatterStyle val="lineMarker"/>
        <c:varyColors val="0"/>
        <c:ser>
          <c:idx val="0"/>
          <c:order val="0"/>
          <c:tx>
            <c:strRef>
              <c:f>"25ºC obtained values"</c:f>
              <c:strCache>
                <c:ptCount val="1"/>
                <c:pt idx="0">
                  <c:v>25ºC obtained values</c:v>
                </c:pt>
              </c:strCache>
            </c:strRef>
          </c:tx>
          <c:spPr>
            <a:solidFill>
              <a:srgbClr val="ff0000"/>
            </a:solidFill>
            <a:ln w="28440">
              <a:noFill/>
            </a:ln>
          </c:spPr>
          <c:marker>
            <c:symbol val="circle"/>
            <c:size val="5"/>
            <c:spPr>
              <a:solidFill>
                <a:srgbClr val="ff0000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R9_494_GR_log!$N$21:$N$36</c:f>
              <c:numCache>
                <c:formatCode>General</c:formatCode>
                <c:ptCount val="16"/>
                <c:pt idx="0">
                  <c:v>1</c:v>
                </c:pt>
                <c:pt idx="1">
                  <c:v>3</c:v>
                </c:pt>
                <c:pt idx="2">
                  <c:v>6</c:v>
                </c:pt>
                <c:pt idx="3">
                  <c:v>9</c:v>
                </c:pt>
                <c:pt idx="4">
                  <c:v>12.17</c:v>
                </c:pt>
                <c:pt idx="5">
                  <c:v>24.17</c:v>
                </c:pt>
                <c:pt idx="6">
                  <c:v>27.08</c:v>
                </c:pt>
                <c:pt idx="7">
                  <c:v>30.08</c:v>
                </c:pt>
                <c:pt idx="8">
                  <c:v>33.08</c:v>
                </c:pt>
                <c:pt idx="9">
                  <c:v>35.83</c:v>
                </c:pt>
                <c:pt idx="10">
                  <c:v>48.25</c:v>
                </c:pt>
                <c:pt idx="11">
                  <c:v>54.08</c:v>
                </c:pt>
              </c:numCache>
            </c:numRef>
          </c:xVal>
          <c:yVal>
            <c:numRef>
              <c:f>R9_494_GR_log!$O$21:$O$36</c:f>
              <c:numCache>
                <c:formatCode>General</c:formatCode>
                <c:ptCount val="16"/>
                <c:pt idx="1">
                  <c:v>5.4</c:v>
                </c:pt>
                <c:pt idx="2">
                  <c:v>6</c:v>
                </c:pt>
                <c:pt idx="3">
                  <c:v>6.4</c:v>
                </c:pt>
                <c:pt idx="4">
                  <c:v>6.83</c:v>
                </c:pt>
                <c:pt idx="5">
                  <c:v>8.46</c:v>
                </c:pt>
                <c:pt idx="6">
                  <c:v>8.3</c:v>
                </c:pt>
                <c:pt idx="7">
                  <c:v>8.29</c:v>
                </c:pt>
                <c:pt idx="8">
                  <c:v>8.33</c:v>
                </c:pt>
                <c:pt idx="9">
                  <c:v>8.32</c:v>
                </c:pt>
                <c:pt idx="10">
                  <c:v>8.37</c:v>
                </c:pt>
                <c:pt idx="11">
                  <c:v>8.2</c:v>
                </c:pt>
              </c:numCache>
            </c:numRef>
          </c:yVal>
          <c:smooth val="0"/>
        </c:ser>
        <c:ser>
          <c:idx val="1"/>
          <c:order val="1"/>
          <c:spPr>
            <a:solidFill>
              <a:srgbClr val="ff0000"/>
            </a:solidFill>
            <a:ln w="28440">
              <a:solidFill>
                <a:srgbClr val="ff0000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R9_494_GR_log!$N$21:$N$32</c:f>
              <c:numCache>
                <c:formatCode>General</c:formatCode>
                <c:ptCount val="12"/>
                <c:pt idx="0">
                  <c:v>1</c:v>
                </c:pt>
                <c:pt idx="1">
                  <c:v>3</c:v>
                </c:pt>
                <c:pt idx="2">
                  <c:v>6</c:v>
                </c:pt>
                <c:pt idx="3">
                  <c:v>9</c:v>
                </c:pt>
                <c:pt idx="4">
                  <c:v>12.17</c:v>
                </c:pt>
                <c:pt idx="5">
                  <c:v>24.17</c:v>
                </c:pt>
                <c:pt idx="6">
                  <c:v>27.08</c:v>
                </c:pt>
                <c:pt idx="7">
                  <c:v>30.08</c:v>
                </c:pt>
                <c:pt idx="8">
                  <c:v>33.08</c:v>
                </c:pt>
                <c:pt idx="9">
                  <c:v>35.83</c:v>
                </c:pt>
                <c:pt idx="10">
                  <c:v>48.25</c:v>
                </c:pt>
                <c:pt idx="11">
                  <c:v>54.08</c:v>
                </c:pt>
              </c:numCache>
            </c:numRef>
          </c:xVal>
          <c:yVal>
            <c:numRef>
              <c:f>R9_494_GR_log!$Q$21:$Q$32</c:f>
              <c:numCache>
                <c:formatCode>General</c:formatCode>
                <c:ptCount val="12"/>
                <c:pt idx="0">
                  <c:v>5.03069547581786</c:v>
                </c:pt>
                <c:pt idx="1">
                  <c:v>5.37644297311353</c:v>
                </c:pt>
                <c:pt idx="2">
                  <c:v>5.89435958679892</c:v>
                </c:pt>
                <c:pt idx="3">
                  <c:v>6.40976669881511</c:v>
                </c:pt>
                <c:pt idx="4">
                  <c:v>6.94532348402946</c:v>
                </c:pt>
                <c:pt idx="5">
                  <c:v>8.25722775137797</c:v>
                </c:pt>
                <c:pt idx="6">
                  <c:v>8.30945881766734</c:v>
                </c:pt>
                <c:pt idx="7">
                  <c:v>8.32752218943537</c:v>
                </c:pt>
                <c:pt idx="8">
                  <c:v>8.33314112224672</c:v>
                </c:pt>
                <c:pt idx="9">
                  <c:v>8.33477819135702</c:v>
                </c:pt>
                <c:pt idx="10">
                  <c:v>8.33559705048598</c:v>
                </c:pt>
                <c:pt idx="11">
                  <c:v>8.33560233720127</c:v>
                </c:pt>
              </c:numCache>
            </c:numRef>
          </c:yVal>
          <c:smooth val="0"/>
        </c:ser>
        <c:axId val="10424377"/>
        <c:axId val="42617275"/>
      </c:scatterChart>
      <c:valAx>
        <c:axId val="10424377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lang="es-ES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lang="es-ES" sz="1000" spc="-1" strike="noStrike">
                    <a:solidFill>
                      <a:srgbClr val="000000"/>
                    </a:solidFill>
                    <a:latin typeface="Calibri"/>
                  </a:rPr>
                  <a:t>Time (d)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" sourceLinked="0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333333"/>
                </a:solidFill>
                <a:latin typeface="Calibri"/>
                <a:ea typeface="Calibri"/>
              </a:defRPr>
            </a:pPr>
          </a:p>
        </c:txPr>
        <c:crossAx val="42617275"/>
        <c:crosses val="autoZero"/>
        <c:crossBetween val="midCat"/>
      </c:valAx>
      <c:valAx>
        <c:axId val="42617275"/>
        <c:scaling>
          <c:orientation val="minMax"/>
        </c:scaling>
        <c:delete val="0"/>
        <c:axPos val="l"/>
        <c:title>
          <c:tx>
            <c:rich>
              <a:bodyPr rot="-5400000"/>
              <a:lstStyle/>
              <a:p>
                <a:pPr>
                  <a:defRPr b="1" lang="es-ES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lang="es-ES" sz="1000" spc="-1" strike="noStrike">
                    <a:solidFill>
                      <a:srgbClr val="000000"/>
                    </a:solidFill>
                    <a:latin typeface="Calibri"/>
                  </a:rPr>
                  <a:t>Log (N)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10424377"/>
        <c:crosses val="autoZero"/>
        <c:crossBetween val="midCat"/>
      </c:valAx>
      <c:spPr>
        <a:noFill/>
        <a:ln w="25560">
          <a:noFill/>
        </a:ln>
      </c:spPr>
    </c:plotArea>
    <c:legend>
      <c:legendPos val="r"/>
      <c:layout>
        <c:manualLayout>
          <c:xMode val="edge"/>
          <c:yMode val="edge"/>
          <c:x val="0.777159796201945"/>
          <c:y val="0.209341813042601"/>
          <c:w val="0.20401667438629"/>
          <c:h val="0.642726428427216"/>
        </c:manualLayout>
      </c:layout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lang="es-ES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lang="es-ES" sz="1800" spc="-1" strike="noStrike">
                <a:solidFill>
                  <a:srgbClr val="000000"/>
                </a:solidFill>
                <a:latin typeface="Calibri"/>
              </a:rPr>
              <a:t>Aerobic with delay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61797752808989"/>
          <c:y val="0.223013048635824"/>
          <c:w val="0.602247191011236"/>
          <c:h val="0.541094729706829"/>
        </c:manualLayout>
      </c:layout>
      <c:scatterChart>
        <c:scatterStyle val="lineMarker"/>
        <c:varyColors val="0"/>
        <c:ser>
          <c:idx val="0"/>
          <c:order val="0"/>
          <c:spPr>
            <a:solidFill>
              <a:srgbClr val="4472c4"/>
            </a:solidFill>
            <a:ln w="19080">
              <a:solidFill>
                <a:srgbClr val="4472c4"/>
              </a:solidFill>
              <a:round/>
            </a:ln>
          </c:spPr>
          <c:marker>
            <c:symbol val="circle"/>
            <c:size val="5"/>
            <c:spPr>
              <a:solidFill>
                <a:srgbClr val="4472c4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[1]LA_prod!$B$21:$B$32</c:f>
              <c:numCache>
                <c:formatCode>General</c:formatCode>
                <c:ptCount val="12"/>
                <c:pt idx="0">
                  <c:v>1</c:v>
                </c:pt>
                <c:pt idx="1">
                  <c:v>3.25</c:v>
                </c:pt>
                <c:pt idx="2">
                  <c:v>6.00000000005821</c:v>
                </c:pt>
                <c:pt idx="3">
                  <c:v>9.00000000005821</c:v>
                </c:pt>
                <c:pt idx="4">
                  <c:v>12.0000000000582</c:v>
                </c:pt>
                <c:pt idx="5">
                  <c:v>24.4166666666861</c:v>
                </c:pt>
                <c:pt idx="6">
                  <c:v>27.25</c:v>
                </c:pt>
                <c:pt idx="7">
                  <c:v>30.0000000000582</c:v>
                </c:pt>
                <c:pt idx="8">
                  <c:v>33.0000000000582</c:v>
                </c:pt>
                <c:pt idx="9">
                  <c:v>35.8333333333721</c:v>
                </c:pt>
                <c:pt idx="10">
                  <c:v>48.5000000001164</c:v>
                </c:pt>
                <c:pt idx="11">
                  <c:v>54.0000000000582</c:v>
                </c:pt>
              </c:numCache>
            </c:numRef>
          </c:xVal>
          <c:yVal>
            <c:numRef>
              <c:f>[1]LA_prod!$C$21:$C$32</c:f>
              <c:numCache>
                <c:formatCode>General</c:formatCode>
                <c:ptCount val="12"/>
                <c:pt idx="0">
                  <c:v>5.12710479836481</c:v>
                </c:pt>
                <c:pt idx="1">
                  <c:v>5.62940959910272</c:v>
                </c:pt>
                <c:pt idx="2">
                  <c:v>5.95424250943933</c:v>
                </c:pt>
                <c:pt idx="3">
                  <c:v>6.52374646681157</c:v>
                </c:pt>
                <c:pt idx="4">
                  <c:v>6.88081359228079</c:v>
                </c:pt>
                <c:pt idx="5">
                  <c:v>8.11394335230684</c:v>
                </c:pt>
                <c:pt idx="6">
                  <c:v>7.57978359661681</c:v>
                </c:pt>
                <c:pt idx="7">
                  <c:v>8.09342168516224</c:v>
                </c:pt>
                <c:pt idx="8">
                  <c:v>8.09342168516224</c:v>
                </c:pt>
                <c:pt idx="9">
                  <c:v>8.10037054511756</c:v>
                </c:pt>
                <c:pt idx="10">
                  <c:v>8.17026171539496</c:v>
                </c:pt>
                <c:pt idx="11">
                  <c:v>8.2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"25ºC predicted values"</c:f>
              <c:strCache>
                <c:ptCount val="1"/>
                <c:pt idx="0">
                  <c:v>25ºC predicted values</c:v>
                </c:pt>
              </c:strCache>
            </c:strRef>
          </c:tx>
          <c:spPr>
            <a:solidFill>
              <a:srgbClr val="ed7d31"/>
            </a:solidFill>
            <a:ln w="19080">
              <a:solidFill>
                <a:srgbClr val="ed7d31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[1]LA_prod!$B$21:$B$36</c:f>
              <c:numCache>
                <c:formatCode>General</c:formatCode>
                <c:ptCount val="16"/>
                <c:pt idx="0">
                  <c:v>1</c:v>
                </c:pt>
                <c:pt idx="1">
                  <c:v>3.25</c:v>
                </c:pt>
                <c:pt idx="2">
                  <c:v>6.00000000005821</c:v>
                </c:pt>
                <c:pt idx="3">
                  <c:v>9.00000000005821</c:v>
                </c:pt>
                <c:pt idx="4">
                  <c:v>12.0000000000582</c:v>
                </c:pt>
                <c:pt idx="5">
                  <c:v>24.4166666666861</c:v>
                </c:pt>
                <c:pt idx="6">
                  <c:v>27.25</c:v>
                </c:pt>
                <c:pt idx="7">
                  <c:v>30.0000000000582</c:v>
                </c:pt>
                <c:pt idx="8">
                  <c:v>33.0000000000582</c:v>
                </c:pt>
                <c:pt idx="9">
                  <c:v>35.8333333333721</c:v>
                </c:pt>
                <c:pt idx="10">
                  <c:v>48.5000000001164</c:v>
                </c:pt>
                <c:pt idx="11">
                  <c:v>54.0000000000582</c:v>
                </c:pt>
              </c:numCache>
            </c:numRef>
          </c:xVal>
          <c:yVal>
            <c:numRef>
              <c:f>[1]LA_prod!$E$21:$E$36</c:f>
              <c:numCache>
                <c:formatCode>General</c:formatCode>
                <c:ptCount val="16"/>
                <c:pt idx="0">
                  <c:v>5.20027140890088</c:v>
                </c:pt>
                <c:pt idx="1">
                  <c:v>5.55533924725384</c:v>
                </c:pt>
                <c:pt idx="2">
                  <c:v>5.98792141344128</c:v>
                </c:pt>
                <c:pt idx="3">
                  <c:v>6.45519319125769</c:v>
                </c:pt>
                <c:pt idx="4">
                  <c:v>6.90896041887478</c:v>
                </c:pt>
                <c:pt idx="5">
                  <c:v>8.00576856091372</c:v>
                </c:pt>
                <c:pt idx="6">
                  <c:v>8.04261812058602</c:v>
                </c:pt>
                <c:pt idx="7">
                  <c:v>8.05630386861232</c:v>
                </c:pt>
                <c:pt idx="8">
                  <c:v>8.06170323478475</c:v>
                </c:pt>
                <c:pt idx="9">
                  <c:v>8.06347157820444</c:v>
                </c:pt>
                <c:pt idx="10">
                  <c:v>8.06444413088548</c:v>
                </c:pt>
                <c:pt idx="11">
                  <c:v>8.0644525765368</c:v>
                </c:pt>
              </c:numCache>
            </c:numRef>
          </c:yVal>
          <c:smooth val="0"/>
        </c:ser>
        <c:axId val="63564764"/>
        <c:axId val="59541326"/>
      </c:scatterChart>
      <c:scatterChart>
        <c:scatterStyle val="lineMarker"/>
        <c:varyColors val="0"/>
        <c:ser>
          <c:idx val="2"/>
          <c:order val="2"/>
          <c:tx>
            <c:strRef>
              <c:f>"LA"</c:f>
              <c:strCache>
                <c:ptCount val="1"/>
                <c:pt idx="0">
                  <c:v>LA</c:v>
                </c:pt>
              </c:strCache>
            </c:strRef>
          </c:tx>
          <c:spPr>
            <a:solidFill>
              <a:srgbClr val="99ccff"/>
            </a:solidFill>
            <a:ln w="19080">
              <a:noFill/>
            </a:ln>
          </c:spP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[1]LA_prod!$B$21:$B$32</c:f>
              <c:numCache>
                <c:formatCode>General</c:formatCode>
                <c:ptCount val="12"/>
                <c:pt idx="0">
                  <c:v>1</c:v>
                </c:pt>
                <c:pt idx="1">
                  <c:v>3.25</c:v>
                </c:pt>
                <c:pt idx="2">
                  <c:v>6.00000000005821</c:v>
                </c:pt>
                <c:pt idx="3">
                  <c:v>9.00000000005821</c:v>
                </c:pt>
                <c:pt idx="4">
                  <c:v>12.0000000000582</c:v>
                </c:pt>
                <c:pt idx="5">
                  <c:v>24.4166666666861</c:v>
                </c:pt>
                <c:pt idx="6">
                  <c:v>27.25</c:v>
                </c:pt>
                <c:pt idx="7">
                  <c:v>30.0000000000582</c:v>
                </c:pt>
                <c:pt idx="8">
                  <c:v>33.0000000000582</c:v>
                </c:pt>
                <c:pt idx="9">
                  <c:v>35.8333333333721</c:v>
                </c:pt>
                <c:pt idx="10">
                  <c:v>48.5000000001164</c:v>
                </c:pt>
                <c:pt idx="11">
                  <c:v>54.0000000000582</c:v>
                </c:pt>
              </c:numCache>
            </c:numRef>
          </c:xVal>
          <c:yVal>
            <c:numRef>
              <c:f>R9_494_LA_prod!$Q$21:$Q$29</c:f>
              <c:numCache>
                <c:formatCode>General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0.040787884</c:v>
                </c:pt>
                <c:pt idx="3">
                  <c:v>0</c:v>
                </c:pt>
                <c:pt idx="4">
                  <c:v>0</c:v>
                </c:pt>
                <c:pt idx="5">
                  <c:v>1.854089683</c:v>
                </c:pt>
                <c:pt idx="6">
                  <c:v>2.473540609</c:v>
                </c:pt>
                <c:pt idx="7">
                  <c:v>2.995381085</c:v>
                </c:pt>
                <c:pt idx="8">
                  <c:v>3.089237286</c:v>
                </c:pt>
              </c:numCache>
            </c:numRef>
          </c:yVal>
          <c:smooth val="0"/>
        </c:ser>
        <c:ser>
          <c:idx val="3"/>
          <c:order val="3"/>
          <c:tx>
            <c:strRef>
              <c:f>"LA pred"</c:f>
              <c:strCache>
                <c:ptCount val="1"/>
                <c:pt idx="0">
                  <c:v>LA pred</c:v>
                </c:pt>
              </c:strCache>
            </c:strRef>
          </c:tx>
          <c:spPr>
            <a:solidFill>
              <a:srgbClr val="99ccff"/>
            </a:solidFill>
            <a:ln w="19080">
              <a:noFill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[1]LA_prod!$B$21:$B$32</c:f>
              <c:numCache>
                <c:formatCode>General</c:formatCode>
                <c:ptCount val="12"/>
                <c:pt idx="0">
                  <c:v>1</c:v>
                </c:pt>
                <c:pt idx="1">
                  <c:v>3.25</c:v>
                </c:pt>
                <c:pt idx="2">
                  <c:v>6.00000000005821</c:v>
                </c:pt>
                <c:pt idx="3">
                  <c:v>9.00000000005821</c:v>
                </c:pt>
                <c:pt idx="4">
                  <c:v>12.0000000000582</c:v>
                </c:pt>
                <c:pt idx="5">
                  <c:v>24.4166666666861</c:v>
                </c:pt>
                <c:pt idx="6">
                  <c:v>27.25</c:v>
                </c:pt>
                <c:pt idx="7">
                  <c:v>30.0000000000582</c:v>
                </c:pt>
                <c:pt idx="8">
                  <c:v>33.0000000000582</c:v>
                </c:pt>
                <c:pt idx="9">
                  <c:v>35.8333333333721</c:v>
                </c:pt>
                <c:pt idx="10">
                  <c:v>48.5000000001164</c:v>
                </c:pt>
                <c:pt idx="11">
                  <c:v>54.0000000000582</c:v>
                </c:pt>
              </c:numCache>
            </c:numRef>
          </c:xVal>
          <c:yVal>
            <c:numRef>
              <c:f>[1]LA_prod!$G$21:$G$32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1.60968058417157</c:v>
                </c:pt>
                <c:pt idx="6">
                  <c:v>2.22671660021111</c:v>
                </c:pt>
                <c:pt idx="7">
                  <c:v>2.79431303244187</c:v>
                </c:pt>
                <c:pt idx="8">
                  <c:v>3.33241486569026</c:v>
                </c:pt>
                <c:pt idx="9">
                  <c:v>3.7033260899816</c:v>
                </c:pt>
                <c:pt idx="10">
                  <c:v>4.07401797941659</c:v>
                </c:pt>
                <c:pt idx="11">
                  <c:v>4.07844017513263</c:v>
                </c:pt>
              </c:numCache>
            </c:numRef>
          </c:yVal>
          <c:smooth val="0"/>
        </c:ser>
        <c:axId val="85178568"/>
        <c:axId val="91159140"/>
      </c:scatterChart>
      <c:valAx>
        <c:axId val="63564764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lang="es-ES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lang="es-ES" sz="1000" spc="-1" strike="noStrike">
                    <a:solidFill>
                      <a:srgbClr val="000000"/>
                    </a:solidFill>
                    <a:latin typeface="Calibri"/>
                  </a:rPr>
                  <a:t>Time (d)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" sourceLinked="0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333333"/>
                </a:solidFill>
                <a:latin typeface="Calibri"/>
                <a:ea typeface="Calibri"/>
              </a:defRPr>
            </a:pPr>
          </a:p>
        </c:txPr>
        <c:crossAx val="59541326"/>
        <c:crosses val="autoZero"/>
        <c:crossBetween val="midCat"/>
      </c:valAx>
      <c:valAx>
        <c:axId val="59541326"/>
        <c:scaling>
          <c:orientation val="minMax"/>
        </c:scaling>
        <c:delete val="0"/>
        <c:axPos val="l"/>
        <c:title>
          <c:tx>
            <c:rich>
              <a:bodyPr rot="-5400000"/>
              <a:lstStyle/>
              <a:p>
                <a:pPr>
                  <a:defRPr b="1" lang="es-ES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lang="es-ES" sz="1000" spc="-1" strike="noStrike">
                    <a:solidFill>
                      <a:srgbClr val="000000"/>
                    </a:solidFill>
                    <a:latin typeface="Calibri"/>
                  </a:rPr>
                  <a:t>Log (N)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63564764"/>
        <c:crosses val="autoZero"/>
        <c:crossBetween val="midCat"/>
      </c:valAx>
      <c:valAx>
        <c:axId val="85178568"/>
        <c:scaling>
          <c:orientation val="minMax"/>
        </c:scaling>
        <c:delete val="1"/>
        <c:axPos val="t"/>
        <c:numFmt formatCode="General" sourceLinked="1"/>
        <c:majorTickMark val="out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1159140"/>
        <c:crossBetween val="midCat"/>
      </c:valAx>
      <c:valAx>
        <c:axId val="91159140"/>
        <c:scaling>
          <c:orientation val="minMax"/>
        </c:scaling>
        <c:delete val="0"/>
        <c:axPos val="r"/>
        <c:numFmt formatCode="General" sourceLinked="0"/>
        <c:majorTickMark val="out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5178568"/>
        <c:crosses val="max"/>
        <c:crossBetween val="midCat"/>
      </c:valAx>
      <c:spPr>
        <a:noFill/>
        <a:ln w="25560">
          <a:noFill/>
        </a:ln>
      </c:spPr>
    </c:plotArea>
    <c:legend>
      <c:legendPos val="r"/>
      <c:layout>
        <c:manualLayout>
          <c:xMode val="edge"/>
          <c:yMode val="edge"/>
          <c:x val="0.777159796201945"/>
          <c:y val="0.257352950403112"/>
          <c:w val="0.222840203798055"/>
          <c:h val="0.665361494825554"/>
        </c:manualLayout>
      </c:layout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lang="es-ES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lang="es-ES" sz="1800" spc="-1" strike="noStrike">
                <a:solidFill>
                  <a:srgbClr val="000000"/>
                </a:solidFill>
                <a:latin typeface="Calibri"/>
              </a:rPr>
              <a:t>Aerobic without delay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63036136440392"/>
          <c:y val="0.215172786177106"/>
          <c:w val="0.612293144208038"/>
          <c:h val="0.488390928725702"/>
        </c:manualLayout>
      </c:layout>
      <c:scatterChart>
        <c:scatterStyle val="lineMarker"/>
        <c:varyColors val="0"/>
        <c:ser>
          <c:idx val="0"/>
          <c:order val="0"/>
          <c:tx>
            <c:strRef>
              <c:f>"LAB obtained values"</c:f>
              <c:strCache>
                <c:ptCount val="1"/>
                <c:pt idx="0">
                  <c:v>LAB obtained values</c:v>
                </c:pt>
              </c:strCache>
            </c:strRef>
          </c:tx>
          <c:spPr>
            <a:solidFill>
              <a:srgbClr val="ff0000"/>
            </a:solidFill>
            <a:ln w="28440">
              <a:noFill/>
            </a:ln>
          </c:spPr>
          <c:marker>
            <c:symbol val="circle"/>
            <c:size val="5"/>
            <c:spPr>
              <a:solidFill>
                <a:srgbClr val="ff0000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R9_494_LA_prod!$M$21:$M$36</c:f>
              <c:numCache>
                <c:formatCode>General</c:formatCode>
                <c:ptCount val="16"/>
                <c:pt idx="0">
                  <c:v>1</c:v>
                </c:pt>
                <c:pt idx="1">
                  <c:v>3</c:v>
                </c:pt>
                <c:pt idx="2">
                  <c:v>6</c:v>
                </c:pt>
                <c:pt idx="3">
                  <c:v>9</c:v>
                </c:pt>
                <c:pt idx="4">
                  <c:v>12.17</c:v>
                </c:pt>
                <c:pt idx="5">
                  <c:v>24.17</c:v>
                </c:pt>
                <c:pt idx="6">
                  <c:v>27.08</c:v>
                </c:pt>
                <c:pt idx="7">
                  <c:v>30.08</c:v>
                </c:pt>
                <c:pt idx="8">
                  <c:v>33.08</c:v>
                </c:pt>
                <c:pt idx="9">
                  <c:v>35.83</c:v>
                </c:pt>
                <c:pt idx="10">
                  <c:v>48.25</c:v>
                </c:pt>
                <c:pt idx="11">
                  <c:v>54.08</c:v>
                </c:pt>
              </c:numCache>
            </c:numRef>
          </c:xVal>
          <c:yVal>
            <c:numRef>
              <c:f>R9_494_LA_prod!$N$21:$N$32</c:f>
              <c:numCache>
                <c:formatCode>General</c:formatCode>
                <c:ptCount val="12"/>
                <c:pt idx="1">
                  <c:v>5.4</c:v>
                </c:pt>
                <c:pt idx="2">
                  <c:v>6</c:v>
                </c:pt>
                <c:pt idx="3">
                  <c:v>6.4</c:v>
                </c:pt>
                <c:pt idx="4">
                  <c:v>6.83</c:v>
                </c:pt>
                <c:pt idx="5">
                  <c:v>8.46</c:v>
                </c:pt>
                <c:pt idx="6">
                  <c:v>8.3</c:v>
                </c:pt>
                <c:pt idx="7">
                  <c:v>8.29</c:v>
                </c:pt>
                <c:pt idx="8">
                  <c:v>8.33</c:v>
                </c:pt>
                <c:pt idx="9">
                  <c:v>8.32</c:v>
                </c:pt>
                <c:pt idx="10">
                  <c:v>8.37</c:v>
                </c:pt>
                <c:pt idx="11">
                  <c:v>8.2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"LAB predicted values"</c:f>
              <c:strCache>
                <c:ptCount val="1"/>
                <c:pt idx="0">
                  <c:v>LAB predicted values</c:v>
                </c:pt>
              </c:strCache>
            </c:strRef>
          </c:tx>
          <c:spPr>
            <a:solidFill>
              <a:srgbClr val="ff0000"/>
            </a:solidFill>
            <a:ln w="28440">
              <a:solidFill>
                <a:srgbClr val="ff0000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R9_494_LA_prod!$M$21:$M$36</c:f>
              <c:numCache>
                <c:formatCode>General</c:formatCode>
                <c:ptCount val="16"/>
                <c:pt idx="0">
                  <c:v>1</c:v>
                </c:pt>
                <c:pt idx="1">
                  <c:v>3</c:v>
                </c:pt>
                <c:pt idx="2">
                  <c:v>6</c:v>
                </c:pt>
                <c:pt idx="3">
                  <c:v>9</c:v>
                </c:pt>
                <c:pt idx="4">
                  <c:v>12.17</c:v>
                </c:pt>
                <c:pt idx="5">
                  <c:v>24.17</c:v>
                </c:pt>
                <c:pt idx="6">
                  <c:v>27.08</c:v>
                </c:pt>
                <c:pt idx="7">
                  <c:v>30.08</c:v>
                </c:pt>
                <c:pt idx="8">
                  <c:v>33.08</c:v>
                </c:pt>
                <c:pt idx="9">
                  <c:v>35.83</c:v>
                </c:pt>
                <c:pt idx="10">
                  <c:v>48.25</c:v>
                </c:pt>
                <c:pt idx="11">
                  <c:v>54.08</c:v>
                </c:pt>
              </c:numCache>
            </c:numRef>
          </c:xVal>
          <c:yVal>
            <c:numRef>
              <c:f>R9_494_LA_prod!$P$21:$P$36</c:f>
              <c:numCache>
                <c:formatCode>General</c:formatCode>
                <c:ptCount val="16"/>
                <c:pt idx="0">
                  <c:v>5.03069547581786</c:v>
                </c:pt>
                <c:pt idx="1">
                  <c:v>5.37644297311353</c:v>
                </c:pt>
                <c:pt idx="2">
                  <c:v>5.89435958679892</c:v>
                </c:pt>
                <c:pt idx="3">
                  <c:v>6.40976669881511</c:v>
                </c:pt>
                <c:pt idx="4">
                  <c:v>6.94532348402946</c:v>
                </c:pt>
                <c:pt idx="5">
                  <c:v>8.25722775137797</c:v>
                </c:pt>
                <c:pt idx="6">
                  <c:v>8.30945881766735</c:v>
                </c:pt>
                <c:pt idx="7">
                  <c:v>8.32752218943537</c:v>
                </c:pt>
                <c:pt idx="8">
                  <c:v>8.33314112224672</c:v>
                </c:pt>
                <c:pt idx="9">
                  <c:v>8.33477819135702</c:v>
                </c:pt>
                <c:pt idx="10">
                  <c:v>8.33559705048598</c:v>
                </c:pt>
                <c:pt idx="11">
                  <c:v>8.33560233720127</c:v>
                </c:pt>
              </c:numCache>
            </c:numRef>
          </c:yVal>
          <c:smooth val="0"/>
        </c:ser>
        <c:axId val="29736112"/>
        <c:axId val="19526155"/>
      </c:scatterChart>
      <c:scatterChart>
        <c:scatterStyle val="lineMarker"/>
        <c:varyColors val="0"/>
        <c:ser>
          <c:idx val="2"/>
          <c:order val="2"/>
          <c:tx>
            <c:strRef>
              <c:f>"Lactic Acid obtained values"</c:f>
              <c:strCache>
                <c:ptCount val="1"/>
                <c:pt idx="0">
                  <c:v>Lactic Acid obtained values</c:v>
                </c:pt>
              </c:strCache>
            </c:strRef>
          </c:tx>
          <c:spPr>
            <a:solidFill>
              <a:srgbClr val="99ccff"/>
            </a:solidFill>
            <a:ln w="19080">
              <a:noFill/>
            </a:ln>
          </c:spP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R9_494_LA_prod!$M$21:$M$32</c:f>
              <c:numCache>
                <c:formatCode>General</c:formatCode>
                <c:ptCount val="12"/>
                <c:pt idx="0">
                  <c:v>1</c:v>
                </c:pt>
                <c:pt idx="1">
                  <c:v>3</c:v>
                </c:pt>
                <c:pt idx="2">
                  <c:v>6</c:v>
                </c:pt>
                <c:pt idx="3">
                  <c:v>9</c:v>
                </c:pt>
                <c:pt idx="4">
                  <c:v>12.17</c:v>
                </c:pt>
                <c:pt idx="5">
                  <c:v>24.17</c:v>
                </c:pt>
                <c:pt idx="6">
                  <c:v>27.08</c:v>
                </c:pt>
                <c:pt idx="7">
                  <c:v>30.08</c:v>
                </c:pt>
                <c:pt idx="8">
                  <c:v>33.08</c:v>
                </c:pt>
                <c:pt idx="9">
                  <c:v>35.83</c:v>
                </c:pt>
                <c:pt idx="10">
                  <c:v>48.25</c:v>
                </c:pt>
                <c:pt idx="11">
                  <c:v>54.08</c:v>
                </c:pt>
              </c:numCache>
            </c:numRef>
          </c:xVal>
          <c:yVal>
            <c:numRef>
              <c:f>R9_494_LA_prod!$Q$21:$Q$29</c:f>
              <c:numCache>
                <c:formatCode>General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0.040787884</c:v>
                </c:pt>
                <c:pt idx="3">
                  <c:v>0</c:v>
                </c:pt>
                <c:pt idx="4">
                  <c:v>0</c:v>
                </c:pt>
                <c:pt idx="5">
                  <c:v>1.854089683</c:v>
                </c:pt>
                <c:pt idx="6">
                  <c:v>2.473540609</c:v>
                </c:pt>
                <c:pt idx="7">
                  <c:v>2.995381085</c:v>
                </c:pt>
                <c:pt idx="8">
                  <c:v>3.089237286</c:v>
                </c:pt>
              </c:numCache>
            </c:numRef>
          </c:yVal>
          <c:smooth val="0"/>
        </c:ser>
        <c:ser>
          <c:idx val="3"/>
          <c:order val="3"/>
          <c:tx>
            <c:strRef>
              <c:f>"Lactic Acid predicted values"</c:f>
              <c:strCache>
                <c:ptCount val="1"/>
                <c:pt idx="0">
                  <c:v>Lactic Acid predicted values</c:v>
                </c:pt>
              </c:strCache>
            </c:strRef>
          </c:tx>
          <c:spPr>
            <a:solidFill>
              <a:srgbClr val="a5a5a5">
                <a:alpha val="75000"/>
              </a:srgbClr>
            </a:solidFill>
            <a:ln w="19080">
              <a:solidFill>
                <a:srgbClr val="a5a5a5">
                  <a:alpha val="75000"/>
                </a:srgbClr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R9_494_LA_prod!$M$21:$M$32</c:f>
              <c:numCache>
                <c:formatCode>General</c:formatCode>
                <c:ptCount val="12"/>
                <c:pt idx="0">
                  <c:v>1</c:v>
                </c:pt>
                <c:pt idx="1">
                  <c:v>3</c:v>
                </c:pt>
                <c:pt idx="2">
                  <c:v>6</c:v>
                </c:pt>
                <c:pt idx="3">
                  <c:v>9</c:v>
                </c:pt>
                <c:pt idx="4">
                  <c:v>12.17</c:v>
                </c:pt>
                <c:pt idx="5">
                  <c:v>24.17</c:v>
                </c:pt>
                <c:pt idx="6">
                  <c:v>27.08</c:v>
                </c:pt>
                <c:pt idx="7">
                  <c:v>30.08</c:v>
                </c:pt>
                <c:pt idx="8">
                  <c:v>33.08</c:v>
                </c:pt>
                <c:pt idx="9">
                  <c:v>35.83</c:v>
                </c:pt>
                <c:pt idx="10">
                  <c:v>48.25</c:v>
                </c:pt>
                <c:pt idx="11">
                  <c:v>54.08</c:v>
                </c:pt>
              </c:numCache>
            </c:numRef>
          </c:xVal>
          <c:yVal>
            <c:numRef>
              <c:f>R9_494_LA_prod!$R$21:$R$32</c:f>
              <c:numCache>
                <c:formatCode>General</c:formatCode>
                <c:ptCount val="12"/>
                <c:pt idx="0">
                  <c:v>0.00815701939431153</c:v>
                </c:pt>
                <c:pt idx="1">
                  <c:v>0.00815701939431153</c:v>
                </c:pt>
                <c:pt idx="2">
                  <c:v>0.00815701939431153</c:v>
                </c:pt>
                <c:pt idx="3">
                  <c:v>0.00815701939431153</c:v>
                </c:pt>
                <c:pt idx="4">
                  <c:v>0.00815701939431153</c:v>
                </c:pt>
                <c:pt idx="5">
                  <c:v>1.76995818048465</c:v>
                </c:pt>
                <c:pt idx="6">
                  <c:v>2.35583984360055</c:v>
                </c:pt>
                <c:pt idx="7">
                  <c:v>2.93485396633684</c:v>
                </c:pt>
                <c:pt idx="8">
                  <c:v>3.44487662284484</c:v>
                </c:pt>
                <c:pt idx="9">
                  <c:v>3.79025719896923</c:v>
                </c:pt>
                <c:pt idx="10">
                  <c:v>4.12345738217733</c:v>
                </c:pt>
                <c:pt idx="11">
                  <c:v>4.1264876822908</c:v>
                </c:pt>
              </c:numCache>
            </c:numRef>
          </c:yVal>
          <c:smooth val="0"/>
        </c:ser>
        <c:axId val="40765237"/>
        <c:axId val="82564196"/>
      </c:scatterChart>
      <c:valAx>
        <c:axId val="29736112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lang="es-ES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lang="es-ES" sz="1000" spc="-1" strike="noStrike">
                    <a:solidFill>
                      <a:srgbClr val="000000"/>
                    </a:solidFill>
                    <a:latin typeface="Calibri"/>
                  </a:rPr>
                  <a:t>Time (d)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" sourceLinked="0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333333"/>
                </a:solidFill>
                <a:latin typeface="Calibri"/>
                <a:ea typeface="Calibri"/>
              </a:defRPr>
            </a:pPr>
          </a:p>
        </c:txPr>
        <c:crossAx val="19526155"/>
        <c:crosses val="autoZero"/>
        <c:crossBetween val="midCat"/>
      </c:valAx>
      <c:valAx>
        <c:axId val="19526155"/>
        <c:scaling>
          <c:orientation val="minMax"/>
        </c:scaling>
        <c:delete val="0"/>
        <c:axPos val="l"/>
        <c:title>
          <c:tx>
            <c:rich>
              <a:bodyPr rot="-5400000"/>
              <a:lstStyle/>
              <a:p>
                <a:pPr>
                  <a:defRPr b="1" lang="es-ES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lang="es-ES" sz="1000" spc="-1" strike="noStrike">
                    <a:solidFill>
                      <a:srgbClr val="000000"/>
                    </a:solidFill>
                    <a:latin typeface="Calibri"/>
                  </a:rPr>
                  <a:t>LAB Log10 cfu/mL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29736112"/>
        <c:crosses val="autoZero"/>
        <c:crossBetween val="midCat"/>
      </c:valAx>
      <c:valAx>
        <c:axId val="40765237"/>
        <c:scaling>
          <c:orientation val="minMax"/>
        </c:scaling>
        <c:delete val="1"/>
        <c:axPos val="t"/>
        <c:numFmt formatCode="0.00" sourceLinked="1"/>
        <c:majorTickMark val="out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2564196"/>
        <c:crossBetween val="midCat"/>
      </c:valAx>
      <c:valAx>
        <c:axId val="82564196"/>
        <c:scaling>
          <c:orientation val="minMax"/>
        </c:scaling>
        <c:delete val="0"/>
        <c:axPos val="r"/>
        <c:title>
          <c:tx>
            <c:rich>
              <a:bodyPr rot="-5400000"/>
              <a:lstStyle/>
              <a:p>
                <a:pPr>
                  <a:defRPr b="1" lang="ca-ES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lang="ca-ES" sz="1000" spc="-1" strike="noStrike">
                    <a:solidFill>
                      <a:srgbClr val="000000"/>
                    </a:solidFill>
                    <a:latin typeface="Calibri"/>
                  </a:rPr>
                  <a:t>Lactic Acid (mg/mL)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" sourceLinked="0"/>
        <c:majorTickMark val="out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40765237"/>
        <c:crosses val="max"/>
        <c:crossBetween val="midCat"/>
        <c:majorUnit val="0.5"/>
      </c:valAx>
      <c:spPr>
        <a:noFill/>
        <a:ln w="25560">
          <a:noFill/>
        </a:ln>
      </c:spPr>
    </c:plotArea>
    <c:legend>
      <c:legendPos val="b"/>
      <c:layout>
        <c:manualLayout>
          <c:xMode val="edge"/>
          <c:yMode val="edge"/>
          <c:x val="0.0844131632034972"/>
          <c:y val="0.864383149754188"/>
          <c:w val="0.809787966365984"/>
          <c:h val="0.106205074187538"/>
        </c:manualLayout>
      </c:layout>
      <c:overlay val="0"/>
      <c:spPr>
        <a:noFill/>
        <a:ln w="0">
          <a:noFill/>
        </a:ln>
      </c:spPr>
      <c:txPr>
        <a:bodyPr/>
        <a:lstStyle/>
        <a:p>
          <a:pPr>
            <a:defRPr b="0" sz="9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lang="es-ES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lang="es-ES" sz="1800" spc="-1" strike="noStrike">
                <a:solidFill>
                  <a:srgbClr val="000000"/>
                </a:solidFill>
                <a:latin typeface="Calibri"/>
              </a:rPr>
              <a:t>Aerobic with delay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61797752808989"/>
          <c:y val="0.223013048635824"/>
          <c:w val="0.602247191011236"/>
          <c:h val="0.541094729706829"/>
        </c:manualLayout>
      </c:layout>
      <c:scatterChart>
        <c:scatterStyle val="lineMarker"/>
        <c:varyColors val="0"/>
        <c:ser>
          <c:idx val="0"/>
          <c:order val="0"/>
          <c:spPr>
            <a:solidFill>
              <a:srgbClr val="4472c4"/>
            </a:solidFill>
            <a:ln w="19080">
              <a:solidFill>
                <a:srgbClr val="4472c4"/>
              </a:solidFill>
              <a:round/>
            </a:ln>
          </c:spPr>
          <c:marker>
            <c:symbol val="circle"/>
            <c:size val="5"/>
            <c:spPr>
              <a:solidFill>
                <a:srgbClr val="4472c4"/>
              </a:solidFill>
            </c:spPr>
          </c:marker>
          <c:smooth val="0"/>
        </c:ser>
        <c:ser>
          <c:idx val="1"/>
          <c:order val="1"/>
          <c:spPr>
            <a:solidFill>
              <a:srgbClr val="ed7d31"/>
            </a:solidFill>
            <a:ln w="19080">
              <a:solidFill>
                <a:srgbClr val="ed7d31"/>
              </a:solidFill>
              <a:round/>
            </a:ln>
          </c:spPr>
          <c:marker>
            <c:symbol val="none"/>
          </c:marker>
          <c:smooth val="0"/>
        </c:ser>
        <c:axId val="6483061"/>
        <c:axId val="22305278"/>
      </c:scatterChart>
      <c:scatterChart>
        <c:scatterStyle val="lineMarker"/>
        <c:varyColors val="0"/>
        <c:ser>
          <c:idx val="2"/>
          <c:order val="2"/>
          <c:spPr>
            <a:solidFill>
              <a:srgbClr val="99ccff"/>
            </a:solidFill>
            <a:ln w="19080">
              <a:noFill/>
            </a:ln>
          </c:spP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yVal>
            <c:numRef>
              <c:f>R9_494_LA_prod_2!$Q$21:$Q$29</c:f>
              <c:numCache>
                <c:formatCode>General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0.040787884</c:v>
                </c:pt>
                <c:pt idx="3">
                  <c:v>0</c:v>
                </c:pt>
                <c:pt idx="4">
                  <c:v>0</c:v>
                </c:pt>
                <c:pt idx="5">
                  <c:v>1.854089683</c:v>
                </c:pt>
                <c:pt idx="6">
                  <c:v>2.473540609</c:v>
                </c:pt>
                <c:pt idx="7">
                  <c:v>2.995381085</c:v>
                </c:pt>
                <c:pt idx="8">
                  <c:v>3.089237286</c:v>
                </c:pt>
              </c:numCache>
            </c:numRef>
          </c:yVal>
          <c:smooth val="0"/>
        </c:ser>
        <c:ser>
          <c:idx val="3"/>
          <c:order val="3"/>
          <c:spPr>
            <a:solidFill>
              <a:srgbClr val="99ccff"/>
            </a:solidFill>
            <a:ln w="19080">
              <a:noFill/>
            </a:ln>
          </c:spPr>
          <c:marker>
            <c:symbol val="none"/>
          </c:marker>
          <c:smooth val="0"/>
        </c:ser>
        <c:axId val="36829676"/>
        <c:axId val="42238751"/>
      </c:scatterChart>
      <c:valAx>
        <c:axId val="6483061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lang="es-ES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lang="es-ES" sz="1000" spc="-1" strike="noStrike">
                    <a:solidFill>
                      <a:srgbClr val="000000"/>
                    </a:solidFill>
                    <a:latin typeface="Calibri"/>
                  </a:rPr>
                  <a:t>Time (d)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" sourceLinked="0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333333"/>
                </a:solidFill>
                <a:latin typeface="Calibri"/>
                <a:ea typeface="Calibri"/>
              </a:defRPr>
            </a:pPr>
          </a:p>
        </c:txPr>
        <c:crossAx val="22305278"/>
        <c:crosses val="autoZero"/>
        <c:crossBetween val="midCat"/>
      </c:valAx>
      <c:valAx>
        <c:axId val="22305278"/>
        <c:scaling>
          <c:orientation val="minMax"/>
        </c:scaling>
        <c:delete val="0"/>
        <c:axPos val="l"/>
        <c:title>
          <c:tx>
            <c:rich>
              <a:bodyPr rot="-5400000"/>
              <a:lstStyle/>
              <a:p>
                <a:pPr>
                  <a:defRPr b="1" lang="es-ES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lang="es-ES" sz="1000" spc="-1" strike="noStrike">
                    <a:solidFill>
                      <a:srgbClr val="000000"/>
                    </a:solidFill>
                    <a:latin typeface="Calibri"/>
                  </a:rPr>
                  <a:t>Log (N)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6483061"/>
        <c:crosses val="autoZero"/>
        <c:crossBetween val="midCat"/>
      </c:valAx>
      <c:valAx>
        <c:axId val="36829676"/>
        <c:scaling>
          <c:orientation val="minMax"/>
        </c:scaling>
        <c:delete val="1"/>
        <c:axPos val="t"/>
        <c:numFmt formatCode="General" sourceLinked="1"/>
        <c:majorTickMark val="out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2238751"/>
        <c:crossBetween val="midCat"/>
      </c:valAx>
      <c:valAx>
        <c:axId val="42238751"/>
        <c:scaling>
          <c:orientation val="minMax"/>
        </c:scaling>
        <c:delete val="0"/>
        <c:axPos val="r"/>
        <c:numFmt formatCode="General" sourceLinked="0"/>
        <c:majorTickMark val="out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6829676"/>
        <c:crosses val="max"/>
        <c:crossBetween val="midCat"/>
      </c:valAx>
      <c:spPr>
        <a:noFill/>
        <a:ln w="25560">
          <a:noFill/>
        </a:ln>
      </c:spPr>
    </c:plotArea>
    <c:legend>
      <c:legendPos val="r"/>
      <c:layout>
        <c:manualLayout>
          <c:xMode val="edge"/>
          <c:yMode val="edge"/>
          <c:x val="0.775280898876405"/>
          <c:y val="0.257244534824606"/>
          <c:w val="1"/>
          <c:h val="0.665423728813559"/>
        </c:manualLayout>
      </c:layout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lang="es-ES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lang="es-ES" sz="1800" spc="-1" strike="noStrike">
                <a:solidFill>
                  <a:srgbClr val="000000"/>
                </a:solidFill>
                <a:latin typeface="Calibri"/>
              </a:rPr>
              <a:t>Aerobic without delay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62951705504897"/>
          <c:y val="0.215172786177106"/>
          <c:w val="0.612293144208038"/>
          <c:h val="0.488390928725702"/>
        </c:manualLayout>
      </c:layout>
      <c:scatterChart>
        <c:scatterStyle val="lineMarker"/>
        <c:varyColors val="0"/>
        <c:ser>
          <c:idx val="0"/>
          <c:order val="0"/>
          <c:spPr>
            <a:solidFill>
              <a:srgbClr val="ff0000"/>
            </a:solidFill>
            <a:ln w="28440">
              <a:noFill/>
            </a:ln>
          </c:spPr>
          <c:marker>
            <c:symbol val="circle"/>
            <c:size val="5"/>
            <c:spPr>
              <a:solidFill>
                <a:srgbClr val="ff0000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R9_494_LA_prod_2!$M$21:$M$36</c:f>
              <c:numCache>
                <c:formatCode>General</c:formatCode>
                <c:ptCount val="16"/>
                <c:pt idx="0">
                  <c:v>1</c:v>
                </c:pt>
                <c:pt idx="1">
                  <c:v>3</c:v>
                </c:pt>
                <c:pt idx="2">
                  <c:v>6</c:v>
                </c:pt>
                <c:pt idx="3">
                  <c:v>9</c:v>
                </c:pt>
                <c:pt idx="4">
                  <c:v>12.17</c:v>
                </c:pt>
                <c:pt idx="5">
                  <c:v>24.17</c:v>
                </c:pt>
                <c:pt idx="6">
                  <c:v>27.08</c:v>
                </c:pt>
                <c:pt idx="7">
                  <c:v>30.08</c:v>
                </c:pt>
                <c:pt idx="8">
                  <c:v>33.08</c:v>
                </c:pt>
                <c:pt idx="9">
                  <c:v>35.83</c:v>
                </c:pt>
                <c:pt idx="10">
                  <c:v>48.25</c:v>
                </c:pt>
                <c:pt idx="11">
                  <c:v>54.08</c:v>
                </c:pt>
              </c:numCache>
            </c:numRef>
          </c:xVal>
          <c:yVal>
            <c:numRef>
              <c:f>R9_494_LA_prod_2!$N$21:$N$32</c:f>
              <c:numCache>
                <c:formatCode>General</c:formatCode>
                <c:ptCount val="12"/>
                <c:pt idx="1">
                  <c:v>5.4</c:v>
                </c:pt>
                <c:pt idx="2">
                  <c:v>6</c:v>
                </c:pt>
                <c:pt idx="3">
                  <c:v>6.4</c:v>
                </c:pt>
                <c:pt idx="4">
                  <c:v>6.83</c:v>
                </c:pt>
                <c:pt idx="5">
                  <c:v>8.46</c:v>
                </c:pt>
                <c:pt idx="6">
                  <c:v>8.3</c:v>
                </c:pt>
                <c:pt idx="7">
                  <c:v>8.29</c:v>
                </c:pt>
                <c:pt idx="8">
                  <c:v>8.33</c:v>
                </c:pt>
                <c:pt idx="9">
                  <c:v>8.32</c:v>
                </c:pt>
                <c:pt idx="10">
                  <c:v>8.37</c:v>
                </c:pt>
                <c:pt idx="11">
                  <c:v>8.2</c:v>
                </c:pt>
              </c:numCache>
            </c:numRef>
          </c:yVal>
          <c:smooth val="0"/>
        </c:ser>
        <c:ser>
          <c:idx val="1"/>
          <c:order val="1"/>
          <c:spPr>
            <a:solidFill>
              <a:srgbClr val="ff0000"/>
            </a:solidFill>
            <a:ln w="28440">
              <a:solidFill>
                <a:srgbClr val="ff0000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R9_494_LA_prod_2!$M$21:$M$36</c:f>
              <c:numCache>
                <c:formatCode>General</c:formatCode>
                <c:ptCount val="16"/>
                <c:pt idx="0">
                  <c:v>1</c:v>
                </c:pt>
                <c:pt idx="1">
                  <c:v>3</c:v>
                </c:pt>
                <c:pt idx="2">
                  <c:v>6</c:v>
                </c:pt>
                <c:pt idx="3">
                  <c:v>9</c:v>
                </c:pt>
                <c:pt idx="4">
                  <c:v>12.17</c:v>
                </c:pt>
                <c:pt idx="5">
                  <c:v>24.17</c:v>
                </c:pt>
                <c:pt idx="6">
                  <c:v>27.08</c:v>
                </c:pt>
                <c:pt idx="7">
                  <c:v>30.08</c:v>
                </c:pt>
                <c:pt idx="8">
                  <c:v>33.08</c:v>
                </c:pt>
                <c:pt idx="9">
                  <c:v>35.83</c:v>
                </c:pt>
                <c:pt idx="10">
                  <c:v>48.25</c:v>
                </c:pt>
                <c:pt idx="11">
                  <c:v>54.08</c:v>
                </c:pt>
              </c:numCache>
            </c:numRef>
          </c:xVal>
          <c:yVal>
            <c:numRef>
              <c:f>R9_494_LA_prod_2!$P$21:$P$36</c:f>
              <c:numCache>
                <c:formatCode>General</c:formatCode>
                <c:ptCount val="16"/>
                <c:pt idx="0">
                  <c:v>5.03069547581786</c:v>
                </c:pt>
                <c:pt idx="1">
                  <c:v>5.37644297311353</c:v>
                </c:pt>
                <c:pt idx="2">
                  <c:v>5.89435958679892</c:v>
                </c:pt>
                <c:pt idx="3">
                  <c:v>6.40976669881511</c:v>
                </c:pt>
                <c:pt idx="4">
                  <c:v>6.94532348402946</c:v>
                </c:pt>
                <c:pt idx="5">
                  <c:v>8.25722775137797</c:v>
                </c:pt>
                <c:pt idx="6">
                  <c:v>8.30945881766734</c:v>
                </c:pt>
                <c:pt idx="7">
                  <c:v>8.32752218943537</c:v>
                </c:pt>
                <c:pt idx="8">
                  <c:v>8.33314112224672</c:v>
                </c:pt>
                <c:pt idx="9">
                  <c:v>8.33477819135702</c:v>
                </c:pt>
                <c:pt idx="10">
                  <c:v>8.33559705048598</c:v>
                </c:pt>
                <c:pt idx="11">
                  <c:v>8.33560233720127</c:v>
                </c:pt>
              </c:numCache>
            </c:numRef>
          </c:yVal>
          <c:smooth val="0"/>
        </c:ser>
        <c:axId val="33787906"/>
        <c:axId val="48917581"/>
      </c:scatterChart>
      <c:scatterChart>
        <c:scatterStyle val="lineMarker"/>
        <c:varyColors val="0"/>
        <c:ser>
          <c:idx val="2"/>
          <c:order val="2"/>
          <c:spPr>
            <a:solidFill>
              <a:srgbClr val="99ccff"/>
            </a:solidFill>
            <a:ln w="19080">
              <a:noFill/>
            </a:ln>
          </c:spP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R9_494_LA_prod_2!$M$21:$M$32</c:f>
              <c:numCache>
                <c:formatCode>General</c:formatCode>
                <c:ptCount val="12"/>
                <c:pt idx="0">
                  <c:v>1</c:v>
                </c:pt>
                <c:pt idx="1">
                  <c:v>3</c:v>
                </c:pt>
                <c:pt idx="2">
                  <c:v>6</c:v>
                </c:pt>
                <c:pt idx="3">
                  <c:v>9</c:v>
                </c:pt>
                <c:pt idx="4">
                  <c:v>12.17</c:v>
                </c:pt>
                <c:pt idx="5">
                  <c:v>24.17</c:v>
                </c:pt>
                <c:pt idx="6">
                  <c:v>27.08</c:v>
                </c:pt>
                <c:pt idx="7">
                  <c:v>30.08</c:v>
                </c:pt>
                <c:pt idx="8">
                  <c:v>33.08</c:v>
                </c:pt>
                <c:pt idx="9">
                  <c:v>35.83</c:v>
                </c:pt>
                <c:pt idx="10">
                  <c:v>48.25</c:v>
                </c:pt>
                <c:pt idx="11">
                  <c:v>54.08</c:v>
                </c:pt>
              </c:numCache>
            </c:numRef>
          </c:xVal>
          <c:yVal>
            <c:numRef>
              <c:f>R9_494_LA_prod_2!$Q$21:$Q$29</c:f>
              <c:numCache>
                <c:formatCode>General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0.040787884</c:v>
                </c:pt>
                <c:pt idx="3">
                  <c:v>0</c:v>
                </c:pt>
                <c:pt idx="4">
                  <c:v>0</c:v>
                </c:pt>
                <c:pt idx="5">
                  <c:v>1.854089683</c:v>
                </c:pt>
                <c:pt idx="6">
                  <c:v>2.473540609</c:v>
                </c:pt>
                <c:pt idx="7">
                  <c:v>2.995381085</c:v>
                </c:pt>
                <c:pt idx="8">
                  <c:v>3.089237286</c:v>
                </c:pt>
              </c:numCache>
            </c:numRef>
          </c:yVal>
          <c:smooth val="0"/>
        </c:ser>
        <c:ser>
          <c:idx val="3"/>
          <c:order val="3"/>
          <c:spPr>
            <a:solidFill>
              <a:srgbClr val="a5a5a5">
                <a:alpha val="75000"/>
              </a:srgbClr>
            </a:solidFill>
            <a:ln w="19080">
              <a:solidFill>
                <a:srgbClr val="a5a5a5">
                  <a:alpha val="75000"/>
                </a:srgbClr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R9_494_LA_prod_2!$M$21:$M$32</c:f>
              <c:numCache>
                <c:formatCode>General</c:formatCode>
                <c:ptCount val="12"/>
                <c:pt idx="0">
                  <c:v>1</c:v>
                </c:pt>
                <c:pt idx="1">
                  <c:v>3</c:v>
                </c:pt>
                <c:pt idx="2">
                  <c:v>6</c:v>
                </c:pt>
                <c:pt idx="3">
                  <c:v>9</c:v>
                </c:pt>
                <c:pt idx="4">
                  <c:v>12.17</c:v>
                </c:pt>
                <c:pt idx="5">
                  <c:v>24.17</c:v>
                </c:pt>
                <c:pt idx="6">
                  <c:v>27.08</c:v>
                </c:pt>
                <c:pt idx="7">
                  <c:v>30.08</c:v>
                </c:pt>
                <c:pt idx="8">
                  <c:v>33.08</c:v>
                </c:pt>
                <c:pt idx="9">
                  <c:v>35.83</c:v>
                </c:pt>
                <c:pt idx="10">
                  <c:v>48.25</c:v>
                </c:pt>
                <c:pt idx="11">
                  <c:v>54.08</c:v>
                </c:pt>
              </c:numCache>
            </c:numRef>
          </c:xVal>
          <c:yVal>
            <c:numRef>
              <c:f>R9_494_LA_prod_2!$R$21:$R$32</c:f>
              <c:numCache>
                <c:formatCode>General</c:formatCode>
                <c:ptCount val="12"/>
                <c:pt idx="0">
                  <c:v>0.00815701939431153</c:v>
                </c:pt>
                <c:pt idx="1">
                  <c:v>0.00815701939431153</c:v>
                </c:pt>
                <c:pt idx="2">
                  <c:v>0.00815701939431153</c:v>
                </c:pt>
                <c:pt idx="3">
                  <c:v>0.00815701939431153</c:v>
                </c:pt>
                <c:pt idx="4">
                  <c:v>0.00815701939431153</c:v>
                </c:pt>
                <c:pt idx="5">
                  <c:v>1.76995818048465</c:v>
                </c:pt>
                <c:pt idx="6">
                  <c:v>2.35583984360055</c:v>
                </c:pt>
                <c:pt idx="7">
                  <c:v>2.93485396633684</c:v>
                </c:pt>
                <c:pt idx="8">
                  <c:v>3.44487662284484</c:v>
                </c:pt>
                <c:pt idx="9">
                  <c:v>3.79025719896923</c:v>
                </c:pt>
                <c:pt idx="10">
                  <c:v>4.12345738217733</c:v>
                </c:pt>
                <c:pt idx="11">
                  <c:v>4.1264876822908</c:v>
                </c:pt>
              </c:numCache>
            </c:numRef>
          </c:yVal>
          <c:smooth val="0"/>
        </c:ser>
        <c:axId val="70998204"/>
        <c:axId val="19678145"/>
      </c:scatterChart>
      <c:valAx>
        <c:axId val="33787906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lang="es-ES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lang="es-ES" sz="1000" spc="-1" strike="noStrike">
                    <a:solidFill>
                      <a:srgbClr val="000000"/>
                    </a:solidFill>
                    <a:latin typeface="Calibri"/>
                  </a:rPr>
                  <a:t>Time (d)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" sourceLinked="0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333333"/>
                </a:solidFill>
                <a:latin typeface="Calibri"/>
                <a:ea typeface="Calibri"/>
              </a:defRPr>
            </a:pPr>
          </a:p>
        </c:txPr>
        <c:crossAx val="48917581"/>
        <c:crosses val="autoZero"/>
        <c:crossBetween val="midCat"/>
      </c:valAx>
      <c:valAx>
        <c:axId val="48917581"/>
        <c:scaling>
          <c:orientation val="minMax"/>
        </c:scaling>
        <c:delete val="0"/>
        <c:axPos val="l"/>
        <c:title>
          <c:tx>
            <c:rich>
              <a:bodyPr rot="-5400000"/>
              <a:lstStyle/>
              <a:p>
                <a:pPr>
                  <a:defRPr b="1" lang="es-ES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lang="es-ES" sz="1000" spc="-1" strike="noStrike">
                    <a:solidFill>
                      <a:srgbClr val="000000"/>
                    </a:solidFill>
                    <a:latin typeface="Calibri"/>
                  </a:rPr>
                  <a:t>LAB Log10 cfu/mL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33787906"/>
        <c:crosses val="autoZero"/>
        <c:crossBetween val="midCat"/>
      </c:valAx>
      <c:valAx>
        <c:axId val="70998204"/>
        <c:scaling>
          <c:orientation val="minMax"/>
        </c:scaling>
        <c:delete val="1"/>
        <c:axPos val="t"/>
        <c:numFmt formatCode="0.00" sourceLinked="1"/>
        <c:majorTickMark val="out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9678145"/>
        <c:crossBetween val="midCat"/>
      </c:valAx>
      <c:valAx>
        <c:axId val="19678145"/>
        <c:scaling>
          <c:orientation val="minMax"/>
        </c:scaling>
        <c:delete val="0"/>
        <c:axPos val="r"/>
        <c:title>
          <c:tx>
            <c:rich>
              <a:bodyPr rot="-5400000"/>
              <a:lstStyle/>
              <a:p>
                <a:pPr>
                  <a:defRPr b="1" lang="ca-ES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lang="ca-ES" sz="1000" spc="-1" strike="noStrike">
                    <a:solidFill>
                      <a:srgbClr val="000000"/>
                    </a:solidFill>
                    <a:latin typeface="Calibri"/>
                  </a:rPr>
                  <a:t>Lactic Acid (mg/mL)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" sourceLinked="0"/>
        <c:majorTickMark val="out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70998204"/>
        <c:crosses val="max"/>
        <c:crossBetween val="midCat"/>
        <c:majorUnit val="0.5"/>
      </c:valAx>
      <c:spPr>
        <a:noFill/>
        <a:ln w="25560">
          <a:noFill/>
        </a:ln>
      </c:spPr>
    </c:plotArea>
    <c:legend>
      <c:legendPos val="b"/>
      <c:layout>
        <c:manualLayout>
          <c:xMode val="edge"/>
          <c:yMode val="edge"/>
          <c:x val="0.0843465045592705"/>
          <c:y val="0.864335853131749"/>
          <c:w val="0.809845478341636"/>
          <c:h val="0.106115836371"/>
        </c:manualLayout>
      </c:layout>
      <c:overlay val="0"/>
      <c:spPr>
        <a:noFill/>
        <a:ln w="0">
          <a:noFill/>
        </a:ln>
      </c:spPr>
      <c:txPr>
        <a:bodyPr/>
        <a:lstStyle/>
        <a:p>
          <a:pPr>
            <a:defRPr b="0" sz="9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lang="es-ES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lang="es-ES" sz="1800" spc="-1" strike="noStrike">
                <a:solidFill>
                  <a:srgbClr val="000000"/>
                </a:solidFill>
                <a:latin typeface="Calibri"/>
              </a:rPr>
              <a:t>Aerobic with delay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63036136440392"/>
          <c:y val="0.222890637050748"/>
          <c:w val="0.602836879432624"/>
          <c:h val="0.541107511954342"/>
        </c:manualLayout>
      </c:layout>
      <c:scatterChart>
        <c:scatterStyle val="lineMarker"/>
        <c:varyColors val="0"/>
        <c:ser>
          <c:idx val="0"/>
          <c:order val="0"/>
          <c:spPr>
            <a:solidFill>
              <a:srgbClr val="ff0000"/>
            </a:solidFill>
            <a:ln w="28440">
              <a:noFill/>
            </a:ln>
          </c:spPr>
          <c:marker>
            <c:symbol val="circle"/>
            <c:size val="5"/>
            <c:spPr>
              <a:solidFill>
                <a:srgbClr val="ff0000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R9_23K_GR_log!$C$21:$C$32</c:f>
              <c:numCache>
                <c:formatCode>General</c:formatCode>
                <c:ptCount val="12"/>
                <c:pt idx="0">
                  <c:v>1</c:v>
                </c:pt>
                <c:pt idx="1">
                  <c:v>3</c:v>
                </c:pt>
                <c:pt idx="2">
                  <c:v>6</c:v>
                </c:pt>
                <c:pt idx="3">
                  <c:v>9</c:v>
                </c:pt>
                <c:pt idx="4">
                  <c:v>12.17</c:v>
                </c:pt>
                <c:pt idx="5">
                  <c:v>24.17</c:v>
                </c:pt>
                <c:pt idx="6">
                  <c:v>27.08</c:v>
                </c:pt>
                <c:pt idx="7">
                  <c:v>30.08</c:v>
                </c:pt>
                <c:pt idx="8">
                  <c:v>33.08</c:v>
                </c:pt>
                <c:pt idx="9">
                  <c:v>35.83</c:v>
                </c:pt>
                <c:pt idx="10">
                  <c:v>48.25</c:v>
                </c:pt>
                <c:pt idx="11">
                  <c:v>54.08</c:v>
                </c:pt>
              </c:numCache>
            </c:numRef>
          </c:xVal>
          <c:yVal>
            <c:numRef>
              <c:f>R9_23K_GR_log!$D$21:$D$32</c:f>
              <c:numCache>
                <c:formatCode>General</c:formatCode>
                <c:ptCount val="12"/>
                <c:pt idx="0">
                  <c:v>5.34</c:v>
                </c:pt>
                <c:pt idx="1">
                  <c:v>5.69</c:v>
                </c:pt>
                <c:pt idx="2">
                  <c:v>6.15</c:v>
                </c:pt>
                <c:pt idx="3">
                  <c:v>6.61</c:v>
                </c:pt>
                <c:pt idx="4">
                  <c:v>7.06</c:v>
                </c:pt>
                <c:pt idx="5">
                  <c:v>8.2</c:v>
                </c:pt>
                <c:pt idx="6">
                  <c:v>8.26</c:v>
                </c:pt>
                <c:pt idx="7">
                  <c:v>8.33</c:v>
                </c:pt>
                <c:pt idx="8">
                  <c:v>8.27</c:v>
                </c:pt>
                <c:pt idx="9">
                  <c:v>8.35</c:v>
                </c:pt>
                <c:pt idx="10">
                  <c:v>8.3</c:v>
                </c:pt>
                <c:pt idx="11">
                  <c:v>8.27</c:v>
                </c:pt>
              </c:numCache>
            </c:numRef>
          </c:yVal>
          <c:smooth val="0"/>
        </c:ser>
        <c:ser>
          <c:idx val="1"/>
          <c:order val="1"/>
          <c:spPr>
            <a:solidFill>
              <a:srgbClr val="ff0000"/>
            </a:solidFill>
            <a:ln w="28440">
              <a:solidFill>
                <a:srgbClr val="ff0000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R9_23K_GR_log!$C$21:$C$32</c:f>
              <c:numCache>
                <c:formatCode>General</c:formatCode>
                <c:ptCount val="12"/>
                <c:pt idx="0">
                  <c:v>1</c:v>
                </c:pt>
                <c:pt idx="1">
                  <c:v>3</c:v>
                </c:pt>
                <c:pt idx="2">
                  <c:v>6</c:v>
                </c:pt>
                <c:pt idx="3">
                  <c:v>9</c:v>
                </c:pt>
                <c:pt idx="4">
                  <c:v>12.17</c:v>
                </c:pt>
                <c:pt idx="5">
                  <c:v>24.17</c:v>
                </c:pt>
                <c:pt idx="6">
                  <c:v>27.08</c:v>
                </c:pt>
                <c:pt idx="7">
                  <c:v>30.08</c:v>
                </c:pt>
                <c:pt idx="8">
                  <c:v>33.08</c:v>
                </c:pt>
                <c:pt idx="9">
                  <c:v>35.83</c:v>
                </c:pt>
                <c:pt idx="10">
                  <c:v>48.25</c:v>
                </c:pt>
                <c:pt idx="11">
                  <c:v>54.08</c:v>
                </c:pt>
              </c:numCache>
            </c:numRef>
          </c:xVal>
          <c:yVal>
            <c:numRef>
              <c:f>R9_23K_GR_log!$F$21:$F$36</c:f>
              <c:numCache>
                <c:formatCode>General</c:formatCode>
                <c:ptCount val="16"/>
                <c:pt idx="0">
                  <c:v>5.36501566512579</c:v>
                </c:pt>
                <c:pt idx="1">
                  <c:v>5.6747362696933</c:v>
                </c:pt>
                <c:pt idx="2">
                  <c:v>6.13814129160581</c:v>
                </c:pt>
                <c:pt idx="3">
                  <c:v>6.59783386790263</c:v>
                </c:pt>
                <c:pt idx="4">
                  <c:v>7.07191205697309</c:v>
                </c:pt>
                <c:pt idx="5">
                  <c:v>8.21615676095858</c:v>
                </c:pt>
                <c:pt idx="6">
                  <c:v>8.27002957525503</c:v>
                </c:pt>
                <c:pt idx="7">
                  <c:v>8.2911723832076</c:v>
                </c:pt>
                <c:pt idx="8">
                  <c:v>8.29865664394802</c:v>
                </c:pt>
                <c:pt idx="9">
                  <c:v>8.30112327598444</c:v>
                </c:pt>
                <c:pt idx="10">
                  <c:v>8.30258904101108</c:v>
                </c:pt>
                <c:pt idx="11">
                  <c:v>8.30260444230028</c:v>
                </c:pt>
              </c:numCache>
            </c:numRef>
          </c:yVal>
          <c:smooth val="0"/>
        </c:ser>
        <c:axId val="942292"/>
        <c:axId val="99262077"/>
      </c:scatterChart>
      <c:valAx>
        <c:axId val="942292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lang="es-ES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lang="es-ES" sz="1000" spc="-1" strike="noStrike">
                    <a:solidFill>
                      <a:srgbClr val="000000"/>
                    </a:solidFill>
                    <a:latin typeface="Calibri"/>
                  </a:rPr>
                  <a:t>Time (d)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" sourceLinked="0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333333"/>
                </a:solidFill>
                <a:latin typeface="Calibri"/>
                <a:ea typeface="Calibri"/>
              </a:defRPr>
            </a:pPr>
          </a:p>
        </c:txPr>
        <c:crossAx val="99262077"/>
        <c:crosses val="autoZero"/>
        <c:crossBetween val="midCat"/>
      </c:valAx>
      <c:valAx>
        <c:axId val="99262077"/>
        <c:scaling>
          <c:orientation val="minMax"/>
        </c:scaling>
        <c:delete val="0"/>
        <c:axPos val="l"/>
        <c:title>
          <c:tx>
            <c:rich>
              <a:bodyPr rot="-5400000"/>
              <a:lstStyle/>
              <a:p>
                <a:pPr>
                  <a:defRPr b="1" lang="es-ES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lang="es-ES" sz="1000" spc="-1" strike="noStrike">
                    <a:solidFill>
                      <a:srgbClr val="000000"/>
                    </a:solidFill>
                    <a:latin typeface="Calibri"/>
                  </a:rPr>
                  <a:t>Log (N)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942292"/>
        <c:crosses val="autoZero"/>
        <c:crossBetween val="midCat"/>
      </c:valAx>
      <c:spPr>
        <a:noFill/>
        <a:ln w="25560">
          <a:noFill/>
        </a:ln>
      </c:spPr>
    </c:plotArea>
    <c:legend>
      <c:legendPos val="r"/>
      <c:layout>
        <c:manualLayout>
          <c:xMode val="edge"/>
          <c:yMode val="edge"/>
          <c:x val="0.777159796201945"/>
          <c:y val="0.257352950403112"/>
          <c:w val="0.20401667438629"/>
          <c:h val="0.485161506206147"/>
        </c:manualLayout>
      </c:layout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lang="es-ES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lang="es-ES" sz="1800" spc="-1" strike="noStrike">
                <a:solidFill>
                  <a:srgbClr val="000000"/>
                </a:solidFill>
                <a:latin typeface="Calibri"/>
              </a:rPr>
              <a:t>Aerobic without delay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63036136440392"/>
          <c:y val="0.215292920482628"/>
          <c:w val="0.612293144208038"/>
          <c:h val="0.556912341910161"/>
        </c:manualLayout>
      </c:layout>
      <c:scatterChart>
        <c:scatterStyle val="lineMarker"/>
        <c:varyColors val="0"/>
        <c:ser>
          <c:idx val="0"/>
          <c:order val="0"/>
          <c:tx>
            <c:strRef>
              <c:f>"25ºC obtained values"</c:f>
              <c:strCache>
                <c:ptCount val="1"/>
                <c:pt idx="0">
                  <c:v>25ºC obtained values</c:v>
                </c:pt>
              </c:strCache>
            </c:strRef>
          </c:tx>
          <c:spPr>
            <a:solidFill>
              <a:srgbClr val="ff0000"/>
            </a:solidFill>
            <a:ln w="28440">
              <a:noFill/>
            </a:ln>
          </c:spPr>
          <c:marker>
            <c:symbol val="circle"/>
            <c:size val="5"/>
            <c:spPr>
              <a:solidFill>
                <a:srgbClr val="ff0000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R9_23K_GR_log!$N$21:$N$36</c:f>
              <c:numCache>
                <c:formatCode>General</c:formatCode>
                <c:ptCount val="16"/>
                <c:pt idx="0">
                  <c:v>1</c:v>
                </c:pt>
                <c:pt idx="1">
                  <c:v>3</c:v>
                </c:pt>
                <c:pt idx="2">
                  <c:v>6</c:v>
                </c:pt>
                <c:pt idx="3">
                  <c:v>9</c:v>
                </c:pt>
                <c:pt idx="4">
                  <c:v>12.17</c:v>
                </c:pt>
                <c:pt idx="5">
                  <c:v>24.17</c:v>
                </c:pt>
                <c:pt idx="6">
                  <c:v>27.08</c:v>
                </c:pt>
                <c:pt idx="7">
                  <c:v>30.08</c:v>
                </c:pt>
                <c:pt idx="8">
                  <c:v>33.08</c:v>
                </c:pt>
                <c:pt idx="9">
                  <c:v>35.83</c:v>
                </c:pt>
                <c:pt idx="10">
                  <c:v>48.25</c:v>
                </c:pt>
                <c:pt idx="11">
                  <c:v>54.08</c:v>
                </c:pt>
              </c:numCache>
            </c:numRef>
          </c:xVal>
          <c:yVal>
            <c:numRef>
              <c:f>R9_23K_GR_log!$O$21:$O$36</c:f>
              <c:numCache>
                <c:formatCode>General</c:formatCode>
                <c:ptCount val="16"/>
                <c:pt idx="0">
                  <c:v>5.34</c:v>
                </c:pt>
                <c:pt idx="1">
                  <c:v>5.69</c:v>
                </c:pt>
                <c:pt idx="2">
                  <c:v>6.15</c:v>
                </c:pt>
                <c:pt idx="3">
                  <c:v>6.61</c:v>
                </c:pt>
                <c:pt idx="4">
                  <c:v>7.06</c:v>
                </c:pt>
                <c:pt idx="5">
                  <c:v>8.2</c:v>
                </c:pt>
                <c:pt idx="6">
                  <c:v>8.26</c:v>
                </c:pt>
                <c:pt idx="7">
                  <c:v>8.33</c:v>
                </c:pt>
                <c:pt idx="8">
                  <c:v>8.27</c:v>
                </c:pt>
                <c:pt idx="9">
                  <c:v>8.35</c:v>
                </c:pt>
                <c:pt idx="10">
                  <c:v>8.3</c:v>
                </c:pt>
                <c:pt idx="11">
                  <c:v>8.27</c:v>
                </c:pt>
              </c:numCache>
            </c:numRef>
          </c:yVal>
          <c:smooth val="0"/>
        </c:ser>
        <c:ser>
          <c:idx val="1"/>
          <c:order val="1"/>
          <c:spPr>
            <a:solidFill>
              <a:srgbClr val="ff0000"/>
            </a:solidFill>
            <a:ln w="28440">
              <a:solidFill>
                <a:srgbClr val="ff0000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R9_23K_GR_log!$N$21:$N$32</c:f>
              <c:numCache>
                <c:formatCode>General</c:formatCode>
                <c:ptCount val="12"/>
                <c:pt idx="0">
                  <c:v>1</c:v>
                </c:pt>
                <c:pt idx="1">
                  <c:v>3</c:v>
                </c:pt>
                <c:pt idx="2">
                  <c:v>6</c:v>
                </c:pt>
                <c:pt idx="3">
                  <c:v>9</c:v>
                </c:pt>
                <c:pt idx="4">
                  <c:v>12.17</c:v>
                </c:pt>
                <c:pt idx="5">
                  <c:v>24.17</c:v>
                </c:pt>
                <c:pt idx="6">
                  <c:v>27.08</c:v>
                </c:pt>
                <c:pt idx="7">
                  <c:v>30.08</c:v>
                </c:pt>
                <c:pt idx="8">
                  <c:v>33.08</c:v>
                </c:pt>
                <c:pt idx="9">
                  <c:v>35.83</c:v>
                </c:pt>
                <c:pt idx="10">
                  <c:v>48.25</c:v>
                </c:pt>
                <c:pt idx="11">
                  <c:v>54.08</c:v>
                </c:pt>
              </c:numCache>
            </c:numRef>
          </c:xVal>
          <c:yVal>
            <c:numRef>
              <c:f>R9_23K_GR_log!$Q$21:$Q$32</c:f>
              <c:numCache>
                <c:formatCode>General</c:formatCode>
                <c:ptCount val="12"/>
                <c:pt idx="0">
                  <c:v>5.36501567425019</c:v>
                </c:pt>
                <c:pt idx="1">
                  <c:v>5.67473627812967</c:v>
                </c:pt>
                <c:pt idx="2">
                  <c:v>6.13814129900153</c:v>
                </c:pt>
                <c:pt idx="3">
                  <c:v>6.59783387423911</c:v>
                </c:pt>
                <c:pt idx="4">
                  <c:v>7.07191206216227</c:v>
                </c:pt>
                <c:pt idx="5">
                  <c:v>8.21615676371311</c:v>
                </c:pt>
                <c:pt idx="6">
                  <c:v>8.2700295781397</c:v>
                </c:pt>
                <c:pt idx="7">
                  <c:v>8.29117238619796</c:v>
                </c:pt>
                <c:pt idx="8">
                  <c:v>8.29865664699483</c:v>
                </c:pt>
                <c:pt idx="9">
                  <c:v>8.30112327905573</c:v>
                </c:pt>
                <c:pt idx="10">
                  <c:v>8.30258904410189</c:v>
                </c:pt>
                <c:pt idx="11">
                  <c:v>8.30260444539144</c:v>
                </c:pt>
              </c:numCache>
            </c:numRef>
          </c:yVal>
          <c:smooth val="0"/>
        </c:ser>
        <c:axId val="52555016"/>
        <c:axId val="46808960"/>
      </c:scatterChart>
      <c:valAx>
        <c:axId val="52555016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lang="es-ES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lang="es-ES" sz="1000" spc="-1" strike="noStrike">
                    <a:solidFill>
                      <a:srgbClr val="000000"/>
                    </a:solidFill>
                    <a:latin typeface="Calibri"/>
                  </a:rPr>
                  <a:t>Time (d)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" sourceLinked="0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333333"/>
                </a:solidFill>
                <a:latin typeface="Calibri"/>
                <a:ea typeface="Calibri"/>
              </a:defRPr>
            </a:pPr>
          </a:p>
        </c:txPr>
        <c:crossAx val="46808960"/>
        <c:crosses val="autoZero"/>
        <c:crossBetween val="midCat"/>
      </c:valAx>
      <c:valAx>
        <c:axId val="46808960"/>
        <c:scaling>
          <c:orientation val="minMax"/>
        </c:scaling>
        <c:delete val="0"/>
        <c:axPos val="l"/>
        <c:title>
          <c:tx>
            <c:rich>
              <a:bodyPr rot="-5400000"/>
              <a:lstStyle/>
              <a:p>
                <a:pPr>
                  <a:defRPr b="1" lang="es-ES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lang="es-ES" sz="1000" spc="-1" strike="noStrike">
                    <a:solidFill>
                      <a:srgbClr val="000000"/>
                    </a:solidFill>
                    <a:latin typeface="Calibri"/>
                  </a:rPr>
                  <a:t>Log (N)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52555016"/>
        <c:crosses val="autoZero"/>
        <c:crossBetween val="midCat"/>
      </c:valAx>
      <c:spPr>
        <a:noFill/>
        <a:ln w="25560">
          <a:noFill/>
        </a:ln>
      </c:spPr>
    </c:plotArea>
    <c:legend>
      <c:legendPos val="r"/>
      <c:layout>
        <c:manualLayout>
          <c:xMode val="edge"/>
          <c:yMode val="edge"/>
          <c:x val="0.777159796201945"/>
          <c:y val="0.209341813042601"/>
          <c:w val="0.20401667438629"/>
          <c:h val="0.642726428427216"/>
        </c:manualLayout>
      </c:layout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lang="es-ES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lang="es-ES" sz="1800" spc="-1" strike="noStrike">
                <a:solidFill>
                  <a:srgbClr val="000000"/>
                </a:solidFill>
                <a:latin typeface="Calibri"/>
              </a:rPr>
              <a:t>Aerobic with delay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61797752808989"/>
          <c:y val="0.223013048635824"/>
          <c:w val="0.602247191011236"/>
          <c:h val="0.541094729706829"/>
        </c:manualLayout>
      </c:layout>
      <c:scatterChart>
        <c:scatterStyle val="lineMarker"/>
        <c:varyColors val="0"/>
        <c:ser>
          <c:idx val="0"/>
          <c:order val="0"/>
          <c:spPr>
            <a:solidFill>
              <a:srgbClr val="4472c4"/>
            </a:solidFill>
            <a:ln w="19080">
              <a:solidFill>
                <a:srgbClr val="4472c4"/>
              </a:solidFill>
              <a:round/>
            </a:ln>
          </c:spPr>
          <c:marker>
            <c:symbol val="circle"/>
            <c:size val="5"/>
            <c:spPr>
              <a:solidFill>
                <a:srgbClr val="4472c4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[1]LA_prod!$B$21:$B$32</c:f>
              <c:numCache>
                <c:formatCode>General</c:formatCode>
                <c:ptCount val="12"/>
                <c:pt idx="0">
                  <c:v>1</c:v>
                </c:pt>
                <c:pt idx="1">
                  <c:v>3.25</c:v>
                </c:pt>
                <c:pt idx="2">
                  <c:v>6.00000000005821</c:v>
                </c:pt>
                <c:pt idx="3">
                  <c:v>9.00000000005821</c:v>
                </c:pt>
                <c:pt idx="4">
                  <c:v>12.0000000000582</c:v>
                </c:pt>
                <c:pt idx="5">
                  <c:v>24.4166666666861</c:v>
                </c:pt>
                <c:pt idx="6">
                  <c:v>27.25</c:v>
                </c:pt>
                <c:pt idx="7">
                  <c:v>30.0000000000582</c:v>
                </c:pt>
                <c:pt idx="8">
                  <c:v>33.0000000000582</c:v>
                </c:pt>
                <c:pt idx="9">
                  <c:v>35.8333333333721</c:v>
                </c:pt>
                <c:pt idx="10">
                  <c:v>48.5000000001164</c:v>
                </c:pt>
                <c:pt idx="11">
                  <c:v>54.0000000000582</c:v>
                </c:pt>
              </c:numCache>
            </c:numRef>
          </c:xVal>
          <c:yVal>
            <c:numRef>
              <c:f>[1]LA_prod!$C$21:$C$32</c:f>
              <c:numCache>
                <c:formatCode>General</c:formatCode>
                <c:ptCount val="12"/>
                <c:pt idx="0">
                  <c:v>5.12710479836481</c:v>
                </c:pt>
                <c:pt idx="1">
                  <c:v>5.62940959910272</c:v>
                </c:pt>
                <c:pt idx="2">
                  <c:v>5.95424250943933</c:v>
                </c:pt>
                <c:pt idx="3">
                  <c:v>6.52374646681157</c:v>
                </c:pt>
                <c:pt idx="4">
                  <c:v>6.88081359228079</c:v>
                </c:pt>
                <c:pt idx="5">
                  <c:v>8.11394335230684</c:v>
                </c:pt>
                <c:pt idx="6">
                  <c:v>7.57978359661681</c:v>
                </c:pt>
                <c:pt idx="7">
                  <c:v>8.09342168516224</c:v>
                </c:pt>
                <c:pt idx="8">
                  <c:v>8.09342168516224</c:v>
                </c:pt>
                <c:pt idx="9">
                  <c:v>8.10037054511756</c:v>
                </c:pt>
                <c:pt idx="10">
                  <c:v>8.17026171539496</c:v>
                </c:pt>
                <c:pt idx="11">
                  <c:v>8.2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"25ºC predicted values"</c:f>
              <c:strCache>
                <c:ptCount val="1"/>
                <c:pt idx="0">
                  <c:v>25ºC predicted values</c:v>
                </c:pt>
              </c:strCache>
            </c:strRef>
          </c:tx>
          <c:spPr>
            <a:solidFill>
              <a:srgbClr val="ed7d31"/>
            </a:solidFill>
            <a:ln w="19080">
              <a:solidFill>
                <a:srgbClr val="ed7d31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[1]LA_prod!$B$21:$B$36</c:f>
              <c:numCache>
                <c:formatCode>General</c:formatCode>
                <c:ptCount val="16"/>
                <c:pt idx="0">
                  <c:v>1</c:v>
                </c:pt>
                <c:pt idx="1">
                  <c:v>3.25</c:v>
                </c:pt>
                <c:pt idx="2">
                  <c:v>6.00000000005821</c:v>
                </c:pt>
                <c:pt idx="3">
                  <c:v>9.00000000005821</c:v>
                </c:pt>
                <c:pt idx="4">
                  <c:v>12.0000000000582</c:v>
                </c:pt>
                <c:pt idx="5">
                  <c:v>24.4166666666861</c:v>
                </c:pt>
                <c:pt idx="6">
                  <c:v>27.25</c:v>
                </c:pt>
                <c:pt idx="7">
                  <c:v>30.0000000000582</c:v>
                </c:pt>
                <c:pt idx="8">
                  <c:v>33.0000000000582</c:v>
                </c:pt>
                <c:pt idx="9">
                  <c:v>35.8333333333721</c:v>
                </c:pt>
                <c:pt idx="10">
                  <c:v>48.5000000001164</c:v>
                </c:pt>
                <c:pt idx="11">
                  <c:v>54.0000000000582</c:v>
                </c:pt>
              </c:numCache>
            </c:numRef>
          </c:xVal>
          <c:yVal>
            <c:numRef>
              <c:f>[1]LA_prod!$E$21:$E$36</c:f>
              <c:numCache>
                <c:formatCode>General</c:formatCode>
                <c:ptCount val="16"/>
                <c:pt idx="0">
                  <c:v>5.20027140890088</c:v>
                </c:pt>
                <c:pt idx="1">
                  <c:v>5.55533924725384</c:v>
                </c:pt>
                <c:pt idx="2">
                  <c:v>5.98792141344128</c:v>
                </c:pt>
                <c:pt idx="3">
                  <c:v>6.45519319125769</c:v>
                </c:pt>
                <c:pt idx="4">
                  <c:v>6.90896041887478</c:v>
                </c:pt>
                <c:pt idx="5">
                  <c:v>8.00576856091372</c:v>
                </c:pt>
                <c:pt idx="6">
                  <c:v>8.04261812058602</c:v>
                </c:pt>
                <c:pt idx="7">
                  <c:v>8.05630386861232</c:v>
                </c:pt>
                <c:pt idx="8">
                  <c:v>8.06170323478475</c:v>
                </c:pt>
                <c:pt idx="9">
                  <c:v>8.06347157820444</c:v>
                </c:pt>
                <c:pt idx="10">
                  <c:v>8.06444413088548</c:v>
                </c:pt>
                <c:pt idx="11">
                  <c:v>8.0644525765368</c:v>
                </c:pt>
              </c:numCache>
            </c:numRef>
          </c:yVal>
          <c:smooth val="0"/>
        </c:ser>
        <c:axId val="7177029"/>
        <c:axId val="66979203"/>
      </c:scatterChart>
      <c:scatterChart>
        <c:scatterStyle val="lineMarker"/>
        <c:varyColors val="0"/>
        <c:ser>
          <c:idx val="2"/>
          <c:order val="2"/>
          <c:tx>
            <c:strRef>
              <c:f>"LA"</c:f>
              <c:strCache>
                <c:ptCount val="1"/>
                <c:pt idx="0">
                  <c:v>LA</c:v>
                </c:pt>
              </c:strCache>
            </c:strRef>
          </c:tx>
          <c:spPr>
            <a:solidFill>
              <a:srgbClr val="99ccff"/>
            </a:solidFill>
            <a:ln w="19080">
              <a:noFill/>
            </a:ln>
          </c:spP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[1]LA_prod!$B$21:$B$32</c:f>
              <c:numCache>
                <c:formatCode>General</c:formatCode>
                <c:ptCount val="12"/>
                <c:pt idx="0">
                  <c:v>1</c:v>
                </c:pt>
                <c:pt idx="1">
                  <c:v>3.25</c:v>
                </c:pt>
                <c:pt idx="2">
                  <c:v>6.00000000005821</c:v>
                </c:pt>
                <c:pt idx="3">
                  <c:v>9.00000000005821</c:v>
                </c:pt>
                <c:pt idx="4">
                  <c:v>12.0000000000582</c:v>
                </c:pt>
                <c:pt idx="5">
                  <c:v>24.4166666666861</c:v>
                </c:pt>
                <c:pt idx="6">
                  <c:v>27.25</c:v>
                </c:pt>
                <c:pt idx="7">
                  <c:v>30.0000000000582</c:v>
                </c:pt>
                <c:pt idx="8">
                  <c:v>33.0000000000582</c:v>
                </c:pt>
                <c:pt idx="9">
                  <c:v>35.8333333333721</c:v>
                </c:pt>
                <c:pt idx="10">
                  <c:v>48.5000000001164</c:v>
                </c:pt>
                <c:pt idx="11">
                  <c:v>54.0000000000582</c:v>
                </c:pt>
              </c:numCache>
            </c:numRef>
          </c:xVal>
          <c:yVal>
            <c:numRef>
              <c:f>R9_23K_LA_prod!$Q$21:$Q$29</c:f>
              <c:numCache>
                <c:formatCode>General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1.219621766</c:v>
                </c:pt>
                <c:pt idx="6">
                  <c:v>2.068081821</c:v>
                </c:pt>
                <c:pt idx="7">
                  <c:v>2.830194172</c:v>
                </c:pt>
                <c:pt idx="8">
                  <c:v>2.875245148</c:v>
                </c:pt>
              </c:numCache>
            </c:numRef>
          </c:yVal>
          <c:smooth val="0"/>
        </c:ser>
        <c:ser>
          <c:idx val="3"/>
          <c:order val="3"/>
          <c:tx>
            <c:strRef>
              <c:f>"LA pred"</c:f>
              <c:strCache>
                <c:ptCount val="1"/>
                <c:pt idx="0">
                  <c:v>LA pred</c:v>
                </c:pt>
              </c:strCache>
            </c:strRef>
          </c:tx>
          <c:spPr>
            <a:solidFill>
              <a:srgbClr val="99ccff"/>
            </a:solidFill>
            <a:ln w="19080">
              <a:noFill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[1]LA_prod!$B$21:$B$32</c:f>
              <c:numCache>
                <c:formatCode>General</c:formatCode>
                <c:ptCount val="12"/>
                <c:pt idx="0">
                  <c:v>1</c:v>
                </c:pt>
                <c:pt idx="1">
                  <c:v>3.25</c:v>
                </c:pt>
                <c:pt idx="2">
                  <c:v>6.00000000005821</c:v>
                </c:pt>
                <c:pt idx="3">
                  <c:v>9.00000000005821</c:v>
                </c:pt>
                <c:pt idx="4">
                  <c:v>12.0000000000582</c:v>
                </c:pt>
                <c:pt idx="5">
                  <c:v>24.4166666666861</c:v>
                </c:pt>
                <c:pt idx="6">
                  <c:v>27.25</c:v>
                </c:pt>
                <c:pt idx="7">
                  <c:v>30.0000000000582</c:v>
                </c:pt>
                <c:pt idx="8">
                  <c:v>33.0000000000582</c:v>
                </c:pt>
                <c:pt idx="9">
                  <c:v>35.8333333333721</c:v>
                </c:pt>
                <c:pt idx="10">
                  <c:v>48.5000000001164</c:v>
                </c:pt>
                <c:pt idx="11">
                  <c:v>54.0000000000582</c:v>
                </c:pt>
              </c:numCache>
            </c:numRef>
          </c:xVal>
          <c:yVal>
            <c:numRef>
              <c:f>[1]LA_prod!$G$21:$G$32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1.60968058417157</c:v>
                </c:pt>
                <c:pt idx="6">
                  <c:v>2.22671660021111</c:v>
                </c:pt>
                <c:pt idx="7">
                  <c:v>2.79431303244187</c:v>
                </c:pt>
                <c:pt idx="8">
                  <c:v>3.33241486569026</c:v>
                </c:pt>
                <c:pt idx="9">
                  <c:v>3.7033260899816</c:v>
                </c:pt>
                <c:pt idx="10">
                  <c:v>4.07401797941659</c:v>
                </c:pt>
                <c:pt idx="11">
                  <c:v>4.07844017513263</c:v>
                </c:pt>
              </c:numCache>
            </c:numRef>
          </c:yVal>
          <c:smooth val="0"/>
        </c:ser>
        <c:axId val="16154830"/>
        <c:axId val="19069444"/>
      </c:scatterChart>
      <c:valAx>
        <c:axId val="7177029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lang="es-ES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lang="es-ES" sz="1000" spc="-1" strike="noStrike">
                    <a:solidFill>
                      <a:srgbClr val="000000"/>
                    </a:solidFill>
                    <a:latin typeface="Calibri"/>
                  </a:rPr>
                  <a:t>Time (d)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" sourceLinked="0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333333"/>
                </a:solidFill>
                <a:latin typeface="Calibri"/>
                <a:ea typeface="Calibri"/>
              </a:defRPr>
            </a:pPr>
          </a:p>
        </c:txPr>
        <c:crossAx val="66979203"/>
        <c:crosses val="autoZero"/>
        <c:crossBetween val="midCat"/>
      </c:valAx>
      <c:valAx>
        <c:axId val="66979203"/>
        <c:scaling>
          <c:orientation val="minMax"/>
        </c:scaling>
        <c:delete val="0"/>
        <c:axPos val="l"/>
        <c:title>
          <c:tx>
            <c:rich>
              <a:bodyPr rot="-5400000"/>
              <a:lstStyle/>
              <a:p>
                <a:pPr>
                  <a:defRPr b="1" lang="es-ES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lang="es-ES" sz="1000" spc="-1" strike="noStrike">
                    <a:solidFill>
                      <a:srgbClr val="000000"/>
                    </a:solidFill>
                    <a:latin typeface="Calibri"/>
                  </a:rPr>
                  <a:t>Log (N)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7177029"/>
        <c:crosses val="autoZero"/>
        <c:crossBetween val="midCat"/>
      </c:valAx>
      <c:valAx>
        <c:axId val="16154830"/>
        <c:scaling>
          <c:orientation val="minMax"/>
        </c:scaling>
        <c:delete val="1"/>
        <c:axPos val="t"/>
        <c:numFmt formatCode="General" sourceLinked="1"/>
        <c:majorTickMark val="out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9069444"/>
        <c:crossBetween val="midCat"/>
      </c:valAx>
      <c:valAx>
        <c:axId val="19069444"/>
        <c:scaling>
          <c:orientation val="minMax"/>
        </c:scaling>
        <c:delete val="0"/>
        <c:axPos val="r"/>
        <c:numFmt formatCode="General" sourceLinked="0"/>
        <c:majorTickMark val="out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6154830"/>
        <c:crosses val="max"/>
        <c:crossBetween val="midCat"/>
      </c:valAx>
      <c:spPr>
        <a:noFill/>
        <a:ln w="25560">
          <a:noFill/>
        </a:ln>
      </c:spPr>
    </c:plotArea>
    <c:legend>
      <c:legendPos val="r"/>
      <c:layout>
        <c:manualLayout>
          <c:xMode val="edge"/>
          <c:yMode val="edge"/>
          <c:x val="0.777159796201945"/>
          <c:y val="0.257352950403112"/>
          <c:w val="0.222840203798055"/>
          <c:h val="0.665361494825554"/>
        </c:manualLayout>
      </c:layout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lang="es-ES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lang="es-ES" sz="1800" spc="-1" strike="noStrike">
                <a:solidFill>
                  <a:srgbClr val="000000"/>
                </a:solidFill>
                <a:latin typeface="Calibri"/>
              </a:rPr>
              <a:t>Aerobic without delay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63036136440392"/>
          <c:y val="0.215172786177106"/>
          <c:w val="0.612293144208038"/>
          <c:h val="0.488390928725702"/>
        </c:manualLayout>
      </c:layout>
      <c:scatterChart>
        <c:scatterStyle val="lineMarker"/>
        <c:varyColors val="0"/>
        <c:ser>
          <c:idx val="0"/>
          <c:order val="0"/>
          <c:tx>
            <c:strRef>
              <c:f>"LAB obtained values"</c:f>
              <c:strCache>
                <c:ptCount val="1"/>
                <c:pt idx="0">
                  <c:v>LAB obtained values</c:v>
                </c:pt>
              </c:strCache>
            </c:strRef>
          </c:tx>
          <c:spPr>
            <a:solidFill>
              <a:srgbClr val="ff0000"/>
            </a:solidFill>
            <a:ln w="28440">
              <a:noFill/>
            </a:ln>
          </c:spPr>
          <c:marker>
            <c:symbol val="circle"/>
            <c:size val="5"/>
            <c:spPr>
              <a:solidFill>
                <a:srgbClr val="ff0000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R9_23K_LA_prod!$M$21:$M$36</c:f>
              <c:numCache>
                <c:formatCode>General</c:formatCode>
                <c:ptCount val="16"/>
                <c:pt idx="0">
                  <c:v>1</c:v>
                </c:pt>
                <c:pt idx="1">
                  <c:v>3.25</c:v>
                </c:pt>
                <c:pt idx="2">
                  <c:v>6.00000000005821</c:v>
                </c:pt>
                <c:pt idx="3">
                  <c:v>9.00000000005821</c:v>
                </c:pt>
                <c:pt idx="4">
                  <c:v>12.0000000000582</c:v>
                </c:pt>
                <c:pt idx="5">
                  <c:v>24.4166666666861</c:v>
                </c:pt>
                <c:pt idx="6">
                  <c:v>27.25</c:v>
                </c:pt>
                <c:pt idx="7">
                  <c:v>30.0000000000582</c:v>
                </c:pt>
                <c:pt idx="8">
                  <c:v>33.0000000000582</c:v>
                </c:pt>
                <c:pt idx="9">
                  <c:v>35.8333333333721</c:v>
                </c:pt>
                <c:pt idx="10">
                  <c:v>48.5000000001164</c:v>
                </c:pt>
                <c:pt idx="11">
                  <c:v>54</c:v>
                </c:pt>
              </c:numCache>
            </c:numRef>
          </c:xVal>
          <c:yVal>
            <c:numRef>
              <c:f>R9_23K_LA_prod!$N$21:$N$36</c:f>
              <c:numCache>
                <c:formatCode>General</c:formatCode>
                <c:ptCount val="16"/>
                <c:pt idx="0">
                  <c:v>5.16</c:v>
                </c:pt>
                <c:pt idx="1">
                  <c:v>5.45</c:v>
                </c:pt>
                <c:pt idx="2">
                  <c:v>6.06</c:v>
                </c:pt>
                <c:pt idx="3">
                  <c:v>6.47</c:v>
                </c:pt>
                <c:pt idx="4">
                  <c:v>6.87</c:v>
                </c:pt>
                <c:pt idx="5">
                  <c:v>8.23</c:v>
                </c:pt>
                <c:pt idx="6">
                  <c:v>8.31</c:v>
                </c:pt>
                <c:pt idx="7">
                  <c:v>8.28</c:v>
                </c:pt>
                <c:pt idx="8">
                  <c:v>8.36</c:v>
                </c:pt>
                <c:pt idx="9">
                  <c:v>8.41</c:v>
                </c:pt>
                <c:pt idx="10">
                  <c:v>8.26</c:v>
                </c:pt>
                <c:pt idx="11">
                  <c:v>8.21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"LAB predicted values"</c:f>
              <c:strCache>
                <c:ptCount val="1"/>
                <c:pt idx="0">
                  <c:v>LAB predicted values</c:v>
                </c:pt>
              </c:strCache>
            </c:strRef>
          </c:tx>
          <c:spPr>
            <a:solidFill>
              <a:srgbClr val="ff0000"/>
            </a:solidFill>
            <a:ln w="28440">
              <a:solidFill>
                <a:srgbClr val="ff0000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R9_23K_LA_prod!$M$21:$M$36</c:f>
              <c:numCache>
                <c:formatCode>General</c:formatCode>
                <c:ptCount val="16"/>
                <c:pt idx="0">
                  <c:v>1</c:v>
                </c:pt>
                <c:pt idx="1">
                  <c:v>3.25</c:v>
                </c:pt>
                <c:pt idx="2">
                  <c:v>6.00000000005821</c:v>
                </c:pt>
                <c:pt idx="3">
                  <c:v>9.00000000005821</c:v>
                </c:pt>
                <c:pt idx="4">
                  <c:v>12.0000000000582</c:v>
                </c:pt>
                <c:pt idx="5">
                  <c:v>24.4166666666861</c:v>
                </c:pt>
                <c:pt idx="6">
                  <c:v>27.25</c:v>
                </c:pt>
                <c:pt idx="7">
                  <c:v>30.0000000000582</c:v>
                </c:pt>
                <c:pt idx="8">
                  <c:v>33.0000000000582</c:v>
                </c:pt>
                <c:pt idx="9">
                  <c:v>35.8333333333721</c:v>
                </c:pt>
                <c:pt idx="10">
                  <c:v>48.5000000001164</c:v>
                </c:pt>
                <c:pt idx="11">
                  <c:v>54</c:v>
                </c:pt>
              </c:numCache>
            </c:numRef>
          </c:xVal>
          <c:yVal>
            <c:numRef>
              <c:f>R9_23K_LA_prod!$P$21:$P$36</c:f>
              <c:numCache>
                <c:formatCode>General</c:formatCode>
                <c:ptCount val="16"/>
                <c:pt idx="0">
                  <c:v>5.36501567425019</c:v>
                </c:pt>
                <c:pt idx="1">
                  <c:v>5.71342112871215</c:v>
                </c:pt>
                <c:pt idx="2">
                  <c:v>6.1381412990105</c:v>
                </c:pt>
                <c:pt idx="3">
                  <c:v>6.59783387424796</c:v>
                </c:pt>
                <c:pt idx="4">
                  <c:v>7.04704820945438</c:v>
                </c:pt>
                <c:pt idx="5">
                  <c:v>8.22281854040298</c:v>
                </c:pt>
                <c:pt idx="6">
                  <c:v>8.2718825533085</c:v>
                </c:pt>
                <c:pt idx="7">
                  <c:v>8.29084539409426</c:v>
                </c:pt>
                <c:pt idx="8">
                  <c:v>8.29854268415884</c:v>
                </c:pt>
                <c:pt idx="9">
                  <c:v>8.3011250410884</c:v>
                </c:pt>
                <c:pt idx="10">
                  <c:v>8.30259054704714</c:v>
                </c:pt>
                <c:pt idx="11">
                  <c:v>8.30260438182698</c:v>
                </c:pt>
              </c:numCache>
            </c:numRef>
          </c:yVal>
          <c:smooth val="0"/>
        </c:ser>
        <c:axId val="86417056"/>
        <c:axId val="43744752"/>
      </c:scatterChart>
      <c:scatterChart>
        <c:scatterStyle val="lineMarker"/>
        <c:varyColors val="0"/>
        <c:ser>
          <c:idx val="2"/>
          <c:order val="2"/>
          <c:spPr>
            <a:solidFill>
              <a:srgbClr val="99ccff"/>
            </a:solidFill>
            <a:ln w="19080">
              <a:noFill/>
            </a:ln>
          </c:spP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R9_23K_LA_prod!$M$21:$M$32</c:f>
              <c:numCache>
                <c:formatCode>General</c:formatCode>
                <c:ptCount val="12"/>
                <c:pt idx="0">
                  <c:v>1</c:v>
                </c:pt>
                <c:pt idx="1">
                  <c:v>3.25</c:v>
                </c:pt>
                <c:pt idx="2">
                  <c:v>6.00000000005821</c:v>
                </c:pt>
                <c:pt idx="3">
                  <c:v>9.00000000005821</c:v>
                </c:pt>
                <c:pt idx="4">
                  <c:v>12.0000000000582</c:v>
                </c:pt>
                <c:pt idx="5">
                  <c:v>24.4166666666861</c:v>
                </c:pt>
                <c:pt idx="6">
                  <c:v>27.25</c:v>
                </c:pt>
                <c:pt idx="7">
                  <c:v>30.0000000000582</c:v>
                </c:pt>
                <c:pt idx="8">
                  <c:v>33.0000000000582</c:v>
                </c:pt>
                <c:pt idx="9">
                  <c:v>35.8333333333721</c:v>
                </c:pt>
                <c:pt idx="10">
                  <c:v>48.5000000001164</c:v>
                </c:pt>
                <c:pt idx="11">
                  <c:v>54</c:v>
                </c:pt>
              </c:numCache>
            </c:numRef>
          </c:xVal>
          <c:yVal>
            <c:numRef>
              <c:f>R9_23K_LA_prod!$Q$21:$Q$32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1.219621766</c:v>
                </c:pt>
                <c:pt idx="6">
                  <c:v>2.068081821</c:v>
                </c:pt>
                <c:pt idx="7">
                  <c:v>2.830194172</c:v>
                </c:pt>
                <c:pt idx="8">
                  <c:v>2.875245148</c:v>
                </c:pt>
                <c:pt idx="9">
                  <c:v>3.509713065</c:v>
                </c:pt>
                <c:pt idx="10">
                  <c:v>4.313122144</c:v>
                </c:pt>
                <c:pt idx="11">
                  <c:v>5.555778243</c:v>
                </c:pt>
              </c:numCache>
            </c:numRef>
          </c:yVal>
          <c:smooth val="0"/>
        </c:ser>
        <c:ser>
          <c:idx val="3"/>
          <c:order val="3"/>
          <c:tx>
            <c:strRef>
              <c:f>"Lactic Acid predicted values"</c:f>
              <c:strCache>
                <c:ptCount val="1"/>
                <c:pt idx="0">
                  <c:v>Lactic Acid predicted values</c:v>
                </c:pt>
              </c:strCache>
            </c:strRef>
          </c:tx>
          <c:spPr>
            <a:solidFill>
              <a:srgbClr val="a5a5a5">
                <a:alpha val="75000"/>
              </a:srgbClr>
            </a:solidFill>
            <a:ln w="19080">
              <a:solidFill>
                <a:srgbClr val="a5a5a5">
                  <a:alpha val="75000"/>
                </a:srgbClr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R9_23K_LA_prod!$M$21:$M$32</c:f>
              <c:numCache>
                <c:formatCode>General</c:formatCode>
                <c:ptCount val="12"/>
                <c:pt idx="0">
                  <c:v>1</c:v>
                </c:pt>
                <c:pt idx="1">
                  <c:v>3.25</c:v>
                </c:pt>
                <c:pt idx="2">
                  <c:v>6.00000000005821</c:v>
                </c:pt>
                <c:pt idx="3">
                  <c:v>9.00000000005821</c:v>
                </c:pt>
                <c:pt idx="4">
                  <c:v>12.0000000000582</c:v>
                </c:pt>
                <c:pt idx="5">
                  <c:v>24.4166666666861</c:v>
                </c:pt>
                <c:pt idx="6">
                  <c:v>27.25</c:v>
                </c:pt>
                <c:pt idx="7">
                  <c:v>30.0000000000582</c:v>
                </c:pt>
                <c:pt idx="8">
                  <c:v>33.0000000000582</c:v>
                </c:pt>
                <c:pt idx="9">
                  <c:v>35.8333333333721</c:v>
                </c:pt>
                <c:pt idx="10">
                  <c:v>48.5000000001164</c:v>
                </c:pt>
                <c:pt idx="11">
                  <c:v>54</c:v>
                </c:pt>
              </c:numCache>
            </c:numRef>
          </c:xVal>
          <c:yVal>
            <c:numRef>
              <c:f>R9_23K_LA_prod!$R$21:$R$32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1.17842829023838</c:v>
                </c:pt>
                <c:pt idx="6">
                  <c:v>1.86280713929268</c:v>
                </c:pt>
                <c:pt idx="7">
                  <c:v>2.51830678551652</c:v>
                </c:pt>
                <c:pt idx="8">
                  <c:v>3.20740684809518</c:v>
                </c:pt>
                <c:pt idx="9">
                  <c:v>3.79811770065977</c:v>
                </c:pt>
                <c:pt idx="10">
                  <c:v>4.82678329623604</c:v>
                </c:pt>
                <c:pt idx="11">
                  <c:v>4.84979800236814</c:v>
                </c:pt>
              </c:numCache>
            </c:numRef>
          </c:yVal>
          <c:smooth val="0"/>
        </c:ser>
        <c:axId val="22311180"/>
        <c:axId val="6004101"/>
      </c:scatterChart>
      <c:valAx>
        <c:axId val="86417056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lang="es-ES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lang="es-ES" sz="1000" spc="-1" strike="noStrike">
                    <a:solidFill>
                      <a:srgbClr val="000000"/>
                    </a:solidFill>
                    <a:latin typeface="Calibri"/>
                  </a:rPr>
                  <a:t>Time (d)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" sourceLinked="0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333333"/>
                </a:solidFill>
                <a:latin typeface="Calibri"/>
                <a:ea typeface="Calibri"/>
              </a:defRPr>
            </a:pPr>
          </a:p>
        </c:txPr>
        <c:crossAx val="43744752"/>
        <c:crosses val="autoZero"/>
        <c:crossBetween val="midCat"/>
      </c:valAx>
      <c:valAx>
        <c:axId val="43744752"/>
        <c:scaling>
          <c:orientation val="minMax"/>
        </c:scaling>
        <c:delete val="0"/>
        <c:axPos val="l"/>
        <c:title>
          <c:tx>
            <c:rich>
              <a:bodyPr rot="-5400000"/>
              <a:lstStyle/>
              <a:p>
                <a:pPr>
                  <a:defRPr b="1" lang="es-ES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lang="es-ES" sz="1000" spc="-1" strike="noStrike">
                    <a:solidFill>
                      <a:srgbClr val="000000"/>
                    </a:solidFill>
                    <a:latin typeface="Calibri"/>
                  </a:rPr>
                  <a:t>LAB Log10 cfu/mL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86417056"/>
        <c:crosses val="autoZero"/>
        <c:crossBetween val="midCat"/>
      </c:valAx>
      <c:valAx>
        <c:axId val="22311180"/>
        <c:scaling>
          <c:orientation val="minMax"/>
        </c:scaling>
        <c:delete val="1"/>
        <c:axPos val="t"/>
        <c:numFmt formatCode="0.00" sourceLinked="1"/>
        <c:majorTickMark val="out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004101"/>
        <c:crossBetween val="midCat"/>
      </c:valAx>
      <c:valAx>
        <c:axId val="6004101"/>
        <c:scaling>
          <c:orientation val="minMax"/>
        </c:scaling>
        <c:delete val="0"/>
        <c:axPos val="r"/>
        <c:title>
          <c:tx>
            <c:rich>
              <a:bodyPr rot="-5400000"/>
              <a:lstStyle/>
              <a:p>
                <a:pPr>
                  <a:defRPr b="1" lang="ca-ES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lang="ca-ES" sz="1000" spc="-1" strike="noStrike">
                    <a:solidFill>
                      <a:srgbClr val="000000"/>
                    </a:solidFill>
                    <a:latin typeface="Calibri"/>
                  </a:rPr>
                  <a:t>Lactic Acid (mg/mL)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" sourceLinked="0"/>
        <c:majorTickMark val="out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22311180"/>
        <c:crosses val="max"/>
        <c:crossBetween val="midCat"/>
        <c:majorUnit val="0.5"/>
      </c:valAx>
      <c:spPr>
        <a:noFill/>
        <a:ln w="25560">
          <a:noFill/>
        </a:ln>
      </c:spPr>
    </c:plotArea>
    <c:legend>
      <c:legendPos val="b"/>
      <c:layout>
        <c:manualLayout>
          <c:xMode val="edge"/>
          <c:yMode val="edge"/>
          <c:x val="0.0844131632034972"/>
          <c:y val="0.864383149754188"/>
          <c:w val="0.809787966365984"/>
          <c:h val="0.106205074187538"/>
        </c:manualLayout>
      </c:layout>
      <c:overlay val="0"/>
      <c:spPr>
        <a:noFill/>
        <a:ln w="0">
          <a:noFill/>
        </a:ln>
      </c:spPr>
      <c:txPr>
        <a:bodyPr/>
        <a:lstStyle/>
        <a:p>
          <a:pPr>
            <a:defRPr b="0" sz="9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lang="es-ES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lang="es-ES" sz="1800" spc="-1" strike="noStrike">
                <a:solidFill>
                  <a:srgbClr val="000000"/>
                </a:solidFill>
                <a:latin typeface="Calibri"/>
              </a:rPr>
              <a:t>Aerobic with delay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63036136440392"/>
          <c:y val="0.222890637050748"/>
          <c:w val="0.602836879432624"/>
          <c:h val="0.541107511954342"/>
        </c:manualLayout>
      </c:layout>
      <c:scatterChart>
        <c:scatterStyle val="lineMarker"/>
        <c:varyColors val="0"/>
        <c:ser>
          <c:idx val="0"/>
          <c:order val="0"/>
          <c:spPr>
            <a:solidFill>
              <a:srgbClr val="ff0000"/>
            </a:solidFill>
            <a:ln w="28440">
              <a:noFill/>
            </a:ln>
          </c:spPr>
          <c:marker>
            <c:symbol val="circle"/>
            <c:size val="5"/>
            <c:spPr>
              <a:solidFill>
                <a:srgbClr val="ff0000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R9_1034_GR_log!$C$21:$C$32</c:f>
              <c:numCache>
                <c:formatCode>General</c:formatCode>
                <c:ptCount val="12"/>
                <c:pt idx="0">
                  <c:v>1</c:v>
                </c:pt>
                <c:pt idx="1">
                  <c:v>3</c:v>
                </c:pt>
                <c:pt idx="2">
                  <c:v>6</c:v>
                </c:pt>
                <c:pt idx="3">
                  <c:v>9</c:v>
                </c:pt>
                <c:pt idx="4">
                  <c:v>12.17</c:v>
                </c:pt>
                <c:pt idx="5">
                  <c:v>24.17</c:v>
                </c:pt>
                <c:pt idx="6">
                  <c:v>27.08</c:v>
                </c:pt>
                <c:pt idx="7">
                  <c:v>30.08</c:v>
                </c:pt>
                <c:pt idx="8">
                  <c:v>33.08</c:v>
                </c:pt>
                <c:pt idx="9">
                  <c:v>35.83</c:v>
                </c:pt>
                <c:pt idx="10">
                  <c:v>48.25</c:v>
                </c:pt>
                <c:pt idx="11">
                  <c:v>54.08</c:v>
                </c:pt>
              </c:numCache>
            </c:numRef>
          </c:xVal>
          <c:yVal>
            <c:numRef>
              <c:f>R9_1034_GR_log!$D$21:$D$32</c:f>
              <c:numCache>
                <c:formatCode>General</c:formatCode>
                <c:ptCount val="12"/>
                <c:pt idx="0">
                  <c:v>3.2</c:v>
                </c:pt>
                <c:pt idx="1">
                  <c:v>3.66</c:v>
                </c:pt>
                <c:pt idx="2">
                  <c:v>3.72</c:v>
                </c:pt>
                <c:pt idx="3">
                  <c:v>4.37</c:v>
                </c:pt>
                <c:pt idx="4">
                  <c:v>4.76</c:v>
                </c:pt>
                <c:pt idx="5">
                  <c:v>6.82</c:v>
                </c:pt>
                <c:pt idx="6">
                  <c:v>7.28</c:v>
                </c:pt>
                <c:pt idx="7">
                  <c:v>7.91</c:v>
                </c:pt>
                <c:pt idx="8">
                  <c:v>8.16</c:v>
                </c:pt>
                <c:pt idx="9">
                  <c:v>8.37</c:v>
                </c:pt>
                <c:pt idx="10">
                  <c:v>8.89</c:v>
                </c:pt>
                <c:pt idx="11">
                  <c:v>8.88</c:v>
                </c:pt>
              </c:numCache>
            </c:numRef>
          </c:yVal>
          <c:smooth val="0"/>
        </c:ser>
        <c:ser>
          <c:idx val="1"/>
          <c:order val="1"/>
          <c:spPr>
            <a:solidFill>
              <a:srgbClr val="ff0000"/>
            </a:solidFill>
            <a:ln w="28440">
              <a:solidFill>
                <a:srgbClr val="ff0000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R9_1034_GR_log!$C$21:$C$32</c:f>
              <c:numCache>
                <c:formatCode>General</c:formatCode>
                <c:ptCount val="12"/>
                <c:pt idx="0">
                  <c:v>1</c:v>
                </c:pt>
                <c:pt idx="1">
                  <c:v>3</c:v>
                </c:pt>
                <c:pt idx="2">
                  <c:v>6</c:v>
                </c:pt>
                <c:pt idx="3">
                  <c:v>9</c:v>
                </c:pt>
                <c:pt idx="4">
                  <c:v>12.17</c:v>
                </c:pt>
                <c:pt idx="5">
                  <c:v>24.17</c:v>
                </c:pt>
                <c:pt idx="6">
                  <c:v>27.08</c:v>
                </c:pt>
                <c:pt idx="7">
                  <c:v>30.08</c:v>
                </c:pt>
                <c:pt idx="8">
                  <c:v>33.08</c:v>
                </c:pt>
                <c:pt idx="9">
                  <c:v>35.83</c:v>
                </c:pt>
                <c:pt idx="10">
                  <c:v>48.25</c:v>
                </c:pt>
                <c:pt idx="11">
                  <c:v>54.08</c:v>
                </c:pt>
              </c:numCache>
            </c:numRef>
          </c:xVal>
          <c:yVal>
            <c:numRef>
              <c:f>R9_1034_GR_log!$F$21:$F$32</c:f>
              <c:numCache>
                <c:formatCode>General</c:formatCode>
                <c:ptCount val="12"/>
                <c:pt idx="0">
                  <c:v>3.12563320204417</c:v>
                </c:pt>
                <c:pt idx="1">
                  <c:v>3.44508797266111</c:v>
                </c:pt>
                <c:pt idx="2">
                  <c:v>3.92426813949531</c:v>
                </c:pt>
                <c:pt idx="3">
                  <c:v>4.40344176179913</c:v>
                </c:pt>
                <c:pt idx="4">
                  <c:v>4.90974653512645</c:v>
                </c:pt>
                <c:pt idx="5">
                  <c:v>6.82266216654212</c:v>
                </c:pt>
                <c:pt idx="6">
                  <c:v>7.28015884564598</c:v>
                </c:pt>
                <c:pt idx="7">
                  <c:v>7.73766728653769</c:v>
                </c:pt>
                <c:pt idx="8">
                  <c:v>8.15738359340618</c:v>
                </c:pt>
                <c:pt idx="9">
                  <c:v>8.47114686251125</c:v>
                </c:pt>
                <c:pt idx="10">
                  <c:v>8.86835412736531</c:v>
                </c:pt>
                <c:pt idx="11">
                  <c:v>8.87441132498867</c:v>
                </c:pt>
              </c:numCache>
            </c:numRef>
          </c:yVal>
          <c:smooth val="0"/>
        </c:ser>
        <c:axId val="92499903"/>
        <c:axId val="25092918"/>
      </c:scatterChart>
      <c:valAx>
        <c:axId val="92499903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lang="es-ES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lang="es-ES" sz="1000" spc="-1" strike="noStrike">
                    <a:solidFill>
                      <a:srgbClr val="000000"/>
                    </a:solidFill>
                    <a:latin typeface="Calibri"/>
                  </a:rPr>
                  <a:t>Time (d)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" sourceLinked="0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333333"/>
                </a:solidFill>
                <a:latin typeface="Calibri"/>
                <a:ea typeface="Calibri"/>
              </a:defRPr>
            </a:pPr>
          </a:p>
        </c:txPr>
        <c:crossAx val="25092918"/>
        <c:crosses val="autoZero"/>
        <c:crossBetween val="midCat"/>
      </c:valAx>
      <c:valAx>
        <c:axId val="25092918"/>
        <c:scaling>
          <c:orientation val="minMax"/>
        </c:scaling>
        <c:delete val="0"/>
        <c:axPos val="l"/>
        <c:title>
          <c:tx>
            <c:rich>
              <a:bodyPr rot="-5400000"/>
              <a:lstStyle/>
              <a:p>
                <a:pPr>
                  <a:defRPr b="1" lang="es-ES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lang="es-ES" sz="1000" spc="-1" strike="noStrike">
                    <a:solidFill>
                      <a:srgbClr val="000000"/>
                    </a:solidFill>
                    <a:latin typeface="Calibri"/>
                  </a:rPr>
                  <a:t>Log (N)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92499903"/>
        <c:crosses val="autoZero"/>
        <c:crossBetween val="midCat"/>
      </c:valAx>
      <c:spPr>
        <a:noFill/>
        <a:ln w="25560">
          <a:noFill/>
        </a:ln>
      </c:spPr>
    </c:plotArea>
    <c:legend>
      <c:legendPos val="r"/>
      <c:layout>
        <c:manualLayout>
          <c:xMode val="edge"/>
          <c:yMode val="edge"/>
          <c:x val="0.777159796201945"/>
          <c:y val="0.257352950403112"/>
          <c:w val="0.20401667438629"/>
          <c:h val="0.485161506206147"/>
        </c:manualLayout>
      </c:layout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lang="es-ES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lang="es-ES" sz="1800" spc="-1" strike="noStrike">
                <a:solidFill>
                  <a:srgbClr val="000000"/>
                </a:solidFill>
                <a:latin typeface="Calibri"/>
              </a:rPr>
              <a:t>Aerobic without delay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63036136440392"/>
          <c:y val="0.215292920482628"/>
          <c:w val="0.612293144208038"/>
          <c:h val="0.556912341910161"/>
        </c:manualLayout>
      </c:layout>
      <c:scatterChart>
        <c:scatterStyle val="lineMarker"/>
        <c:varyColors val="0"/>
        <c:ser>
          <c:idx val="0"/>
          <c:order val="0"/>
          <c:tx>
            <c:strRef>
              <c:f>"25ºC obtained values"</c:f>
              <c:strCache>
                <c:ptCount val="1"/>
                <c:pt idx="0">
                  <c:v>25ºC obtained values</c:v>
                </c:pt>
              </c:strCache>
            </c:strRef>
          </c:tx>
          <c:spPr>
            <a:solidFill>
              <a:srgbClr val="ff0000"/>
            </a:solidFill>
            <a:ln w="28440">
              <a:noFill/>
            </a:ln>
          </c:spPr>
          <c:marker>
            <c:symbol val="circle"/>
            <c:size val="5"/>
            <c:spPr>
              <a:solidFill>
                <a:srgbClr val="ff0000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R9_1034_GR_log!$N$21:$N$36</c:f>
              <c:numCache>
                <c:formatCode>General</c:formatCode>
                <c:ptCount val="16"/>
                <c:pt idx="0">
                  <c:v>1</c:v>
                </c:pt>
                <c:pt idx="1">
                  <c:v>3</c:v>
                </c:pt>
                <c:pt idx="2">
                  <c:v>6</c:v>
                </c:pt>
                <c:pt idx="3">
                  <c:v>9</c:v>
                </c:pt>
                <c:pt idx="4">
                  <c:v>12.17</c:v>
                </c:pt>
                <c:pt idx="5">
                  <c:v>24.17</c:v>
                </c:pt>
                <c:pt idx="6">
                  <c:v>27.08</c:v>
                </c:pt>
                <c:pt idx="7">
                  <c:v>30.08</c:v>
                </c:pt>
                <c:pt idx="8">
                  <c:v>33.08</c:v>
                </c:pt>
                <c:pt idx="9">
                  <c:v>35.83</c:v>
                </c:pt>
                <c:pt idx="10">
                  <c:v>48.25</c:v>
                </c:pt>
                <c:pt idx="11">
                  <c:v>54.08</c:v>
                </c:pt>
              </c:numCache>
            </c:numRef>
          </c:xVal>
          <c:yVal>
            <c:numRef>
              <c:f>R9_1034_GR_log!$O$21:$O$36</c:f>
              <c:numCache>
                <c:formatCode>General</c:formatCode>
                <c:ptCount val="16"/>
                <c:pt idx="0">
                  <c:v>3.2</c:v>
                </c:pt>
                <c:pt idx="1">
                  <c:v>3.66</c:v>
                </c:pt>
                <c:pt idx="2">
                  <c:v>3.72</c:v>
                </c:pt>
                <c:pt idx="3">
                  <c:v>4.37</c:v>
                </c:pt>
                <c:pt idx="4">
                  <c:v>4.76</c:v>
                </c:pt>
                <c:pt idx="5">
                  <c:v>6.82</c:v>
                </c:pt>
                <c:pt idx="6">
                  <c:v>7.28</c:v>
                </c:pt>
                <c:pt idx="7">
                  <c:v>7.91</c:v>
                </c:pt>
                <c:pt idx="8">
                  <c:v>8.16</c:v>
                </c:pt>
                <c:pt idx="9">
                  <c:v>8.37</c:v>
                </c:pt>
                <c:pt idx="10">
                  <c:v>8.89</c:v>
                </c:pt>
                <c:pt idx="11">
                  <c:v>8.88</c:v>
                </c:pt>
              </c:numCache>
            </c:numRef>
          </c:yVal>
          <c:smooth val="0"/>
        </c:ser>
        <c:ser>
          <c:idx val="1"/>
          <c:order val="1"/>
          <c:spPr>
            <a:solidFill>
              <a:srgbClr val="ff0000"/>
            </a:solidFill>
            <a:ln w="28440">
              <a:solidFill>
                <a:srgbClr val="ff0000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R9_1034_GR_log!$N$21:$N$32</c:f>
              <c:numCache>
                <c:formatCode>General</c:formatCode>
                <c:ptCount val="12"/>
                <c:pt idx="0">
                  <c:v>1</c:v>
                </c:pt>
                <c:pt idx="1">
                  <c:v>3</c:v>
                </c:pt>
                <c:pt idx="2">
                  <c:v>6</c:v>
                </c:pt>
                <c:pt idx="3">
                  <c:v>9</c:v>
                </c:pt>
                <c:pt idx="4">
                  <c:v>12.17</c:v>
                </c:pt>
                <c:pt idx="5">
                  <c:v>24.17</c:v>
                </c:pt>
                <c:pt idx="6">
                  <c:v>27.08</c:v>
                </c:pt>
                <c:pt idx="7">
                  <c:v>30.08</c:v>
                </c:pt>
                <c:pt idx="8">
                  <c:v>33.08</c:v>
                </c:pt>
                <c:pt idx="9">
                  <c:v>35.83</c:v>
                </c:pt>
                <c:pt idx="10">
                  <c:v>48.25</c:v>
                </c:pt>
                <c:pt idx="11">
                  <c:v>54.08</c:v>
                </c:pt>
              </c:numCache>
            </c:numRef>
          </c:xVal>
          <c:yVal>
            <c:numRef>
              <c:f>R9_1034_GR_log!$Q$21:$Q$32</c:f>
              <c:numCache>
                <c:formatCode>General</c:formatCode>
                <c:ptCount val="12"/>
                <c:pt idx="0">
                  <c:v>3.12563320068827</c:v>
                </c:pt>
                <c:pt idx="1">
                  <c:v>3.44508797153941</c:v>
                </c:pt>
                <c:pt idx="2">
                  <c:v>3.92426813872489</c:v>
                </c:pt>
                <c:pt idx="3">
                  <c:v>4.40344176137987</c:v>
                </c:pt>
                <c:pt idx="4">
                  <c:v>4.90974653507779</c:v>
                </c:pt>
                <c:pt idx="5">
                  <c:v>6.82266216781268</c:v>
                </c:pt>
                <c:pt idx="6">
                  <c:v>7.28015884708616</c:v>
                </c:pt>
                <c:pt idx="7">
                  <c:v>7.73766728782142</c:v>
                </c:pt>
                <c:pt idx="8">
                  <c:v>8.1573835937265</c:v>
                </c:pt>
                <c:pt idx="9">
                  <c:v>8.47114686082206</c:v>
                </c:pt>
                <c:pt idx="10">
                  <c:v>8.86835411909909</c:v>
                </c:pt>
                <c:pt idx="11">
                  <c:v>8.87441131654895</c:v>
                </c:pt>
              </c:numCache>
            </c:numRef>
          </c:yVal>
          <c:smooth val="0"/>
        </c:ser>
        <c:axId val="43473429"/>
        <c:axId val="73933625"/>
      </c:scatterChart>
      <c:valAx>
        <c:axId val="43473429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lang="es-ES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lang="es-ES" sz="1000" spc="-1" strike="noStrike">
                    <a:solidFill>
                      <a:srgbClr val="000000"/>
                    </a:solidFill>
                    <a:latin typeface="Calibri"/>
                  </a:rPr>
                  <a:t>Time (d)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" sourceLinked="0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333333"/>
                </a:solidFill>
                <a:latin typeface="Calibri"/>
                <a:ea typeface="Calibri"/>
              </a:defRPr>
            </a:pPr>
          </a:p>
        </c:txPr>
        <c:crossAx val="73933625"/>
        <c:crosses val="autoZero"/>
        <c:crossBetween val="midCat"/>
      </c:valAx>
      <c:valAx>
        <c:axId val="73933625"/>
        <c:scaling>
          <c:orientation val="minMax"/>
        </c:scaling>
        <c:delete val="0"/>
        <c:axPos val="l"/>
        <c:title>
          <c:tx>
            <c:rich>
              <a:bodyPr rot="-5400000"/>
              <a:lstStyle/>
              <a:p>
                <a:pPr>
                  <a:defRPr b="1" lang="es-ES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lang="es-ES" sz="1000" spc="-1" strike="noStrike">
                    <a:solidFill>
                      <a:srgbClr val="000000"/>
                    </a:solidFill>
                    <a:latin typeface="Calibri"/>
                  </a:rPr>
                  <a:t>Log (N)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43473429"/>
        <c:crosses val="autoZero"/>
        <c:crossBetween val="midCat"/>
      </c:valAx>
      <c:spPr>
        <a:noFill/>
        <a:ln w="25560">
          <a:noFill/>
        </a:ln>
      </c:spPr>
    </c:plotArea>
    <c:legend>
      <c:legendPos val="r"/>
      <c:layout>
        <c:manualLayout>
          <c:xMode val="edge"/>
          <c:yMode val="edge"/>
          <c:x val="0.777159796201945"/>
          <c:y val="0.209341813042601"/>
          <c:w val="0.20401667438629"/>
          <c:h val="0.642726428427216"/>
        </c:manualLayout>
      </c:layout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lang="es-ES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lang="es-ES" sz="1800" spc="-1" strike="noStrike">
                <a:solidFill>
                  <a:srgbClr val="000000"/>
                </a:solidFill>
                <a:latin typeface="Calibri"/>
              </a:rPr>
              <a:t>Aerobic with delay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61797752808989"/>
          <c:y val="0.223013048635824"/>
          <c:w val="0.602247191011236"/>
          <c:h val="0.541094729706829"/>
        </c:manualLayout>
      </c:layout>
      <c:scatterChart>
        <c:scatterStyle val="lineMarker"/>
        <c:varyColors val="0"/>
        <c:ser>
          <c:idx val="0"/>
          <c:order val="0"/>
          <c:spPr>
            <a:solidFill>
              <a:srgbClr val="4472c4"/>
            </a:solidFill>
            <a:ln w="19080">
              <a:solidFill>
                <a:srgbClr val="4472c4"/>
              </a:solidFill>
              <a:round/>
            </a:ln>
          </c:spPr>
          <c:marker>
            <c:symbol val="circle"/>
            <c:size val="5"/>
            <c:spPr>
              <a:solidFill>
                <a:srgbClr val="4472c4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[1]LA_prod!$B$21:$B$32</c:f>
              <c:numCache>
                <c:formatCode>General</c:formatCode>
                <c:ptCount val="12"/>
                <c:pt idx="0">
                  <c:v>1</c:v>
                </c:pt>
                <c:pt idx="1">
                  <c:v>3.25</c:v>
                </c:pt>
                <c:pt idx="2">
                  <c:v>6.00000000005821</c:v>
                </c:pt>
                <c:pt idx="3">
                  <c:v>9.00000000005821</c:v>
                </c:pt>
                <c:pt idx="4">
                  <c:v>12.0000000000582</c:v>
                </c:pt>
                <c:pt idx="5">
                  <c:v>24.4166666666861</c:v>
                </c:pt>
                <c:pt idx="6">
                  <c:v>27.25</c:v>
                </c:pt>
                <c:pt idx="7">
                  <c:v>30.0000000000582</c:v>
                </c:pt>
                <c:pt idx="8">
                  <c:v>33.0000000000582</c:v>
                </c:pt>
                <c:pt idx="9">
                  <c:v>35.8333333333721</c:v>
                </c:pt>
                <c:pt idx="10">
                  <c:v>48.5000000001164</c:v>
                </c:pt>
                <c:pt idx="11">
                  <c:v>54.0000000000582</c:v>
                </c:pt>
              </c:numCache>
            </c:numRef>
          </c:xVal>
          <c:yVal>
            <c:numRef>
              <c:f>[1]LA_prod!$C$21:$C$32</c:f>
              <c:numCache>
                <c:formatCode>General</c:formatCode>
                <c:ptCount val="12"/>
                <c:pt idx="0">
                  <c:v>5.12710479836481</c:v>
                </c:pt>
                <c:pt idx="1">
                  <c:v>5.62940959910272</c:v>
                </c:pt>
                <c:pt idx="2">
                  <c:v>5.95424250943933</c:v>
                </c:pt>
                <c:pt idx="3">
                  <c:v>6.52374646681157</c:v>
                </c:pt>
                <c:pt idx="4">
                  <c:v>6.88081359228079</c:v>
                </c:pt>
                <c:pt idx="5">
                  <c:v>8.11394335230684</c:v>
                </c:pt>
                <c:pt idx="6">
                  <c:v>7.57978359661681</c:v>
                </c:pt>
                <c:pt idx="7">
                  <c:v>8.09342168516224</c:v>
                </c:pt>
                <c:pt idx="8">
                  <c:v>8.09342168516224</c:v>
                </c:pt>
                <c:pt idx="9">
                  <c:v>8.10037054511756</c:v>
                </c:pt>
                <c:pt idx="10">
                  <c:v>8.17026171539496</c:v>
                </c:pt>
                <c:pt idx="11">
                  <c:v>8.2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"25ºC predicted values"</c:f>
              <c:strCache>
                <c:ptCount val="1"/>
                <c:pt idx="0">
                  <c:v>25ºC predicted values</c:v>
                </c:pt>
              </c:strCache>
            </c:strRef>
          </c:tx>
          <c:spPr>
            <a:solidFill>
              <a:srgbClr val="ed7d31"/>
            </a:solidFill>
            <a:ln w="19080">
              <a:solidFill>
                <a:srgbClr val="ed7d31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[1]LA_prod!$B$21:$B$36</c:f>
              <c:numCache>
                <c:formatCode>General</c:formatCode>
                <c:ptCount val="16"/>
                <c:pt idx="0">
                  <c:v>1</c:v>
                </c:pt>
                <c:pt idx="1">
                  <c:v>3.25</c:v>
                </c:pt>
                <c:pt idx="2">
                  <c:v>6.00000000005821</c:v>
                </c:pt>
                <c:pt idx="3">
                  <c:v>9.00000000005821</c:v>
                </c:pt>
                <c:pt idx="4">
                  <c:v>12.0000000000582</c:v>
                </c:pt>
                <c:pt idx="5">
                  <c:v>24.4166666666861</c:v>
                </c:pt>
                <c:pt idx="6">
                  <c:v>27.25</c:v>
                </c:pt>
                <c:pt idx="7">
                  <c:v>30.0000000000582</c:v>
                </c:pt>
                <c:pt idx="8">
                  <c:v>33.0000000000582</c:v>
                </c:pt>
                <c:pt idx="9">
                  <c:v>35.8333333333721</c:v>
                </c:pt>
                <c:pt idx="10">
                  <c:v>48.5000000001164</c:v>
                </c:pt>
                <c:pt idx="11">
                  <c:v>54.0000000000582</c:v>
                </c:pt>
              </c:numCache>
            </c:numRef>
          </c:xVal>
          <c:yVal>
            <c:numRef>
              <c:f>[1]LA_prod!$E$21:$E$36</c:f>
              <c:numCache>
                <c:formatCode>General</c:formatCode>
                <c:ptCount val="16"/>
                <c:pt idx="0">
                  <c:v>5.20027140890088</c:v>
                </c:pt>
                <c:pt idx="1">
                  <c:v>5.55533924725384</c:v>
                </c:pt>
                <c:pt idx="2">
                  <c:v>5.98792141344128</c:v>
                </c:pt>
                <c:pt idx="3">
                  <c:v>6.45519319125769</c:v>
                </c:pt>
                <c:pt idx="4">
                  <c:v>6.90896041887478</c:v>
                </c:pt>
                <c:pt idx="5">
                  <c:v>8.00576856091372</c:v>
                </c:pt>
                <c:pt idx="6">
                  <c:v>8.04261812058602</c:v>
                </c:pt>
                <c:pt idx="7">
                  <c:v>8.05630386861232</c:v>
                </c:pt>
                <c:pt idx="8">
                  <c:v>8.06170323478475</c:v>
                </c:pt>
                <c:pt idx="9">
                  <c:v>8.06347157820444</c:v>
                </c:pt>
                <c:pt idx="10">
                  <c:v>8.06444413088548</c:v>
                </c:pt>
                <c:pt idx="11">
                  <c:v>8.0644525765368</c:v>
                </c:pt>
              </c:numCache>
            </c:numRef>
          </c:yVal>
          <c:smooth val="0"/>
        </c:ser>
        <c:axId val="88832352"/>
        <c:axId val="19131657"/>
      </c:scatterChart>
      <c:scatterChart>
        <c:scatterStyle val="lineMarker"/>
        <c:varyColors val="0"/>
        <c:ser>
          <c:idx val="2"/>
          <c:order val="2"/>
          <c:tx>
            <c:strRef>
              <c:f>"LA"</c:f>
              <c:strCache>
                <c:ptCount val="1"/>
                <c:pt idx="0">
                  <c:v>LA</c:v>
                </c:pt>
              </c:strCache>
            </c:strRef>
          </c:tx>
          <c:spPr>
            <a:solidFill>
              <a:srgbClr val="99ccff"/>
            </a:solidFill>
            <a:ln w="19080">
              <a:noFill/>
            </a:ln>
          </c:spP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[1]LA_prod!$B$21:$B$32</c:f>
              <c:numCache>
                <c:formatCode>General</c:formatCode>
                <c:ptCount val="12"/>
                <c:pt idx="0">
                  <c:v>1</c:v>
                </c:pt>
                <c:pt idx="1">
                  <c:v>3.25</c:v>
                </c:pt>
                <c:pt idx="2">
                  <c:v>6.00000000005821</c:v>
                </c:pt>
                <c:pt idx="3">
                  <c:v>9.00000000005821</c:v>
                </c:pt>
                <c:pt idx="4">
                  <c:v>12.0000000000582</c:v>
                </c:pt>
                <c:pt idx="5">
                  <c:v>24.4166666666861</c:v>
                </c:pt>
                <c:pt idx="6">
                  <c:v>27.25</c:v>
                </c:pt>
                <c:pt idx="7">
                  <c:v>30.0000000000582</c:v>
                </c:pt>
                <c:pt idx="8">
                  <c:v>33.0000000000582</c:v>
                </c:pt>
                <c:pt idx="9">
                  <c:v>35.8333333333721</c:v>
                </c:pt>
                <c:pt idx="10">
                  <c:v>48.5000000001164</c:v>
                </c:pt>
                <c:pt idx="11">
                  <c:v>54.0000000000582</c:v>
                </c:pt>
              </c:numCache>
            </c:numRef>
          </c:xVal>
          <c:yVal>
            <c:numRef>
              <c:f>R9_1034_LA_prod!$Q$21:$Q$29</c:f>
              <c:numCache>
                <c:formatCode>General</c:formatCode>
                <c:ptCount val="9"/>
                <c:pt idx="0">
                  <c:v>-0.176958502</c:v>
                </c:pt>
                <c:pt idx="1">
                  <c:v>-0.060576813</c:v>
                </c:pt>
                <c:pt idx="2">
                  <c:v>0.08583886</c:v>
                </c:pt>
                <c:pt idx="3">
                  <c:v>-0.034297077</c:v>
                </c:pt>
                <c:pt idx="4">
                  <c:v>-0.176958502</c:v>
                </c:pt>
                <c:pt idx="5">
                  <c:v>-0.086856549</c:v>
                </c:pt>
                <c:pt idx="6">
                  <c:v>-0.004263092</c:v>
                </c:pt>
                <c:pt idx="7">
                  <c:v>-0.18071275</c:v>
                </c:pt>
                <c:pt idx="8">
                  <c:v>-0.176958502</c:v>
                </c:pt>
              </c:numCache>
            </c:numRef>
          </c:yVal>
          <c:smooth val="0"/>
        </c:ser>
        <c:ser>
          <c:idx val="3"/>
          <c:order val="3"/>
          <c:tx>
            <c:strRef>
              <c:f>"LA pred"</c:f>
              <c:strCache>
                <c:ptCount val="1"/>
                <c:pt idx="0">
                  <c:v>LA pred</c:v>
                </c:pt>
              </c:strCache>
            </c:strRef>
          </c:tx>
          <c:spPr>
            <a:solidFill>
              <a:srgbClr val="99ccff"/>
            </a:solidFill>
            <a:ln w="19080">
              <a:noFill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[1]LA_prod!$B$21:$B$32</c:f>
              <c:numCache>
                <c:formatCode>General</c:formatCode>
                <c:ptCount val="12"/>
                <c:pt idx="0">
                  <c:v>1</c:v>
                </c:pt>
                <c:pt idx="1">
                  <c:v>3.25</c:v>
                </c:pt>
                <c:pt idx="2">
                  <c:v>6.00000000005821</c:v>
                </c:pt>
                <c:pt idx="3">
                  <c:v>9.00000000005821</c:v>
                </c:pt>
                <c:pt idx="4">
                  <c:v>12.0000000000582</c:v>
                </c:pt>
                <c:pt idx="5">
                  <c:v>24.4166666666861</c:v>
                </c:pt>
                <c:pt idx="6">
                  <c:v>27.25</c:v>
                </c:pt>
                <c:pt idx="7">
                  <c:v>30.0000000000582</c:v>
                </c:pt>
                <c:pt idx="8">
                  <c:v>33.0000000000582</c:v>
                </c:pt>
                <c:pt idx="9">
                  <c:v>35.8333333333721</c:v>
                </c:pt>
                <c:pt idx="10">
                  <c:v>48.5000000001164</c:v>
                </c:pt>
                <c:pt idx="11">
                  <c:v>54.0000000000582</c:v>
                </c:pt>
              </c:numCache>
            </c:numRef>
          </c:xVal>
          <c:yVal>
            <c:numRef>
              <c:f>[1]LA_prod!$G$21:$G$32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1.60968058417157</c:v>
                </c:pt>
                <c:pt idx="6">
                  <c:v>2.22671660021111</c:v>
                </c:pt>
                <c:pt idx="7">
                  <c:v>2.79431303244187</c:v>
                </c:pt>
                <c:pt idx="8">
                  <c:v>3.33241486569026</c:v>
                </c:pt>
                <c:pt idx="9">
                  <c:v>3.7033260899816</c:v>
                </c:pt>
                <c:pt idx="10">
                  <c:v>4.07401797941659</c:v>
                </c:pt>
                <c:pt idx="11">
                  <c:v>4.07844017513263</c:v>
                </c:pt>
              </c:numCache>
            </c:numRef>
          </c:yVal>
          <c:smooth val="0"/>
        </c:ser>
        <c:axId val="53466594"/>
        <c:axId val="9816463"/>
      </c:scatterChart>
      <c:valAx>
        <c:axId val="88832352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lang="es-ES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lang="es-ES" sz="1000" spc="-1" strike="noStrike">
                    <a:solidFill>
                      <a:srgbClr val="000000"/>
                    </a:solidFill>
                    <a:latin typeface="Calibri"/>
                  </a:rPr>
                  <a:t>Time (d)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" sourceLinked="0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333333"/>
                </a:solidFill>
                <a:latin typeface="Calibri"/>
                <a:ea typeface="Calibri"/>
              </a:defRPr>
            </a:pPr>
          </a:p>
        </c:txPr>
        <c:crossAx val="19131657"/>
        <c:crosses val="autoZero"/>
        <c:crossBetween val="midCat"/>
      </c:valAx>
      <c:valAx>
        <c:axId val="19131657"/>
        <c:scaling>
          <c:orientation val="minMax"/>
        </c:scaling>
        <c:delete val="0"/>
        <c:axPos val="l"/>
        <c:title>
          <c:tx>
            <c:rich>
              <a:bodyPr rot="-5400000"/>
              <a:lstStyle/>
              <a:p>
                <a:pPr>
                  <a:defRPr b="1" lang="es-ES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lang="es-ES" sz="1000" spc="-1" strike="noStrike">
                    <a:solidFill>
                      <a:srgbClr val="000000"/>
                    </a:solidFill>
                    <a:latin typeface="Calibri"/>
                  </a:rPr>
                  <a:t>Log (N)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88832352"/>
        <c:crosses val="autoZero"/>
        <c:crossBetween val="midCat"/>
      </c:valAx>
      <c:valAx>
        <c:axId val="53466594"/>
        <c:scaling>
          <c:orientation val="minMax"/>
        </c:scaling>
        <c:delete val="1"/>
        <c:axPos val="t"/>
        <c:numFmt formatCode="General" sourceLinked="1"/>
        <c:majorTickMark val="out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816463"/>
        <c:crossBetween val="midCat"/>
      </c:valAx>
      <c:valAx>
        <c:axId val="9816463"/>
        <c:scaling>
          <c:orientation val="minMax"/>
        </c:scaling>
        <c:delete val="0"/>
        <c:axPos val="r"/>
        <c:numFmt formatCode="General" sourceLinked="0"/>
        <c:majorTickMark val="out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3466594"/>
        <c:crosses val="max"/>
        <c:crossBetween val="midCat"/>
      </c:valAx>
      <c:spPr>
        <a:noFill/>
        <a:ln w="25560">
          <a:noFill/>
        </a:ln>
      </c:spPr>
    </c:plotArea>
    <c:legend>
      <c:legendPos val="r"/>
      <c:layout>
        <c:manualLayout>
          <c:xMode val="edge"/>
          <c:yMode val="edge"/>
          <c:x val="0.777159796201945"/>
          <c:y val="0.257352950403112"/>
          <c:w val="0.222840203798055"/>
          <c:h val="0.665361494825554"/>
        </c:manualLayout>
      </c:layout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lang="es-ES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lang="es-ES" sz="1800" spc="-1" strike="noStrike">
                <a:solidFill>
                  <a:srgbClr val="000000"/>
                </a:solidFill>
                <a:latin typeface="Calibri"/>
              </a:rPr>
              <a:t>Aerobic without delay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63036136440392"/>
          <c:y val="0.215172786177106"/>
          <c:w val="0.612293144208038"/>
          <c:h val="0.488390928725702"/>
        </c:manualLayout>
      </c:layout>
      <c:scatterChart>
        <c:scatterStyle val="lineMarker"/>
        <c:varyColors val="0"/>
        <c:ser>
          <c:idx val="0"/>
          <c:order val="0"/>
          <c:tx>
            <c:strRef>
              <c:f>"LAB obtained values"</c:f>
              <c:strCache>
                <c:ptCount val="1"/>
                <c:pt idx="0">
                  <c:v>LAB obtained values</c:v>
                </c:pt>
              </c:strCache>
            </c:strRef>
          </c:tx>
          <c:spPr>
            <a:solidFill>
              <a:srgbClr val="ff0000"/>
            </a:solidFill>
            <a:ln w="28440">
              <a:noFill/>
            </a:ln>
          </c:spPr>
          <c:marker>
            <c:symbol val="circle"/>
            <c:size val="5"/>
            <c:spPr>
              <a:solidFill>
                <a:srgbClr val="ff0000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R9_1034_LA_prod!$M$21:$M$36</c:f>
              <c:numCache>
                <c:formatCode>General</c:formatCode>
                <c:ptCount val="16"/>
                <c:pt idx="0">
                  <c:v>1</c:v>
                </c:pt>
                <c:pt idx="1">
                  <c:v>3</c:v>
                </c:pt>
                <c:pt idx="2">
                  <c:v>6</c:v>
                </c:pt>
                <c:pt idx="3">
                  <c:v>9</c:v>
                </c:pt>
                <c:pt idx="4">
                  <c:v>12.17</c:v>
                </c:pt>
                <c:pt idx="5">
                  <c:v>24.17</c:v>
                </c:pt>
                <c:pt idx="6">
                  <c:v>27.08</c:v>
                </c:pt>
                <c:pt idx="7">
                  <c:v>30.08</c:v>
                </c:pt>
                <c:pt idx="8">
                  <c:v>33.08</c:v>
                </c:pt>
                <c:pt idx="9">
                  <c:v>35.83</c:v>
                </c:pt>
                <c:pt idx="10">
                  <c:v>48.25</c:v>
                </c:pt>
                <c:pt idx="11">
                  <c:v>54.08</c:v>
                </c:pt>
              </c:numCache>
            </c:numRef>
          </c:xVal>
          <c:yVal>
            <c:numRef>
              <c:f>R9_1034_LA_prod!$N$21:$N$36</c:f>
              <c:numCache>
                <c:formatCode>General</c:formatCode>
                <c:ptCount val="16"/>
                <c:pt idx="0">
                  <c:v>3.2</c:v>
                </c:pt>
                <c:pt idx="1">
                  <c:v>3.66</c:v>
                </c:pt>
                <c:pt idx="2">
                  <c:v>3.72</c:v>
                </c:pt>
                <c:pt idx="3">
                  <c:v>4.37</c:v>
                </c:pt>
                <c:pt idx="4">
                  <c:v>4.76</c:v>
                </c:pt>
                <c:pt idx="5">
                  <c:v>6.82</c:v>
                </c:pt>
                <c:pt idx="6">
                  <c:v>7.28</c:v>
                </c:pt>
                <c:pt idx="7">
                  <c:v>7.91</c:v>
                </c:pt>
                <c:pt idx="8">
                  <c:v>8.16</c:v>
                </c:pt>
                <c:pt idx="9">
                  <c:v>8.37</c:v>
                </c:pt>
                <c:pt idx="10">
                  <c:v>8.89</c:v>
                </c:pt>
                <c:pt idx="11">
                  <c:v>8.88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"LAB predicted values"</c:f>
              <c:strCache>
                <c:ptCount val="1"/>
                <c:pt idx="0">
                  <c:v>LAB predicted values</c:v>
                </c:pt>
              </c:strCache>
            </c:strRef>
          </c:tx>
          <c:spPr>
            <a:solidFill>
              <a:srgbClr val="ff0000"/>
            </a:solidFill>
            <a:ln w="28440">
              <a:solidFill>
                <a:srgbClr val="ff0000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R9_1034_LA_prod!$M$21:$M$36</c:f>
              <c:numCache>
                <c:formatCode>General</c:formatCode>
                <c:ptCount val="16"/>
                <c:pt idx="0">
                  <c:v>1</c:v>
                </c:pt>
                <c:pt idx="1">
                  <c:v>3</c:v>
                </c:pt>
                <c:pt idx="2">
                  <c:v>6</c:v>
                </c:pt>
                <c:pt idx="3">
                  <c:v>9</c:v>
                </c:pt>
                <c:pt idx="4">
                  <c:v>12.17</c:v>
                </c:pt>
                <c:pt idx="5">
                  <c:v>24.17</c:v>
                </c:pt>
                <c:pt idx="6">
                  <c:v>27.08</c:v>
                </c:pt>
                <c:pt idx="7">
                  <c:v>30.08</c:v>
                </c:pt>
                <c:pt idx="8">
                  <c:v>33.08</c:v>
                </c:pt>
                <c:pt idx="9">
                  <c:v>35.83</c:v>
                </c:pt>
                <c:pt idx="10">
                  <c:v>48.25</c:v>
                </c:pt>
                <c:pt idx="11">
                  <c:v>54.08</c:v>
                </c:pt>
              </c:numCache>
            </c:numRef>
          </c:xVal>
          <c:yVal>
            <c:numRef>
              <c:f>R9_1034_LA_prod!$P$21:$P$36</c:f>
              <c:numCache>
                <c:formatCode>General</c:formatCode>
                <c:ptCount val="16"/>
                <c:pt idx="0">
                  <c:v>3.12563320068827</c:v>
                </c:pt>
                <c:pt idx="1">
                  <c:v>3.44508797153941</c:v>
                </c:pt>
                <c:pt idx="2">
                  <c:v>3.92426813872489</c:v>
                </c:pt>
                <c:pt idx="3">
                  <c:v>4.40344176137987</c:v>
                </c:pt>
                <c:pt idx="4">
                  <c:v>4.90974653507779</c:v>
                </c:pt>
                <c:pt idx="5">
                  <c:v>6.82266216781268</c:v>
                </c:pt>
                <c:pt idx="6">
                  <c:v>7.28015884708616</c:v>
                </c:pt>
                <c:pt idx="7">
                  <c:v>7.73766728782142</c:v>
                </c:pt>
                <c:pt idx="8">
                  <c:v>8.1573835937265</c:v>
                </c:pt>
                <c:pt idx="9">
                  <c:v>8.47114686082206</c:v>
                </c:pt>
                <c:pt idx="10">
                  <c:v>8.86835411909909</c:v>
                </c:pt>
                <c:pt idx="11">
                  <c:v>8.87441131654895</c:v>
                </c:pt>
              </c:numCache>
            </c:numRef>
          </c:yVal>
          <c:smooth val="0"/>
        </c:ser>
        <c:axId val="72847534"/>
        <c:axId val="30919033"/>
      </c:scatterChart>
      <c:scatterChart>
        <c:scatterStyle val="lineMarker"/>
        <c:varyColors val="0"/>
        <c:ser>
          <c:idx val="2"/>
          <c:order val="2"/>
          <c:spPr>
            <a:solidFill>
              <a:srgbClr val="99ccff"/>
            </a:solidFill>
            <a:ln w="19080">
              <a:noFill/>
            </a:ln>
          </c:spP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R9_1034_LA_prod!$M$21:$M$32</c:f>
              <c:numCache>
                <c:formatCode>General</c:formatCode>
                <c:ptCount val="12"/>
                <c:pt idx="0">
                  <c:v>1</c:v>
                </c:pt>
                <c:pt idx="1">
                  <c:v>3</c:v>
                </c:pt>
                <c:pt idx="2">
                  <c:v>6</c:v>
                </c:pt>
                <c:pt idx="3">
                  <c:v>9</c:v>
                </c:pt>
                <c:pt idx="4">
                  <c:v>12.17</c:v>
                </c:pt>
                <c:pt idx="5">
                  <c:v>24.17</c:v>
                </c:pt>
                <c:pt idx="6">
                  <c:v>27.08</c:v>
                </c:pt>
                <c:pt idx="7">
                  <c:v>30.08</c:v>
                </c:pt>
                <c:pt idx="8">
                  <c:v>33.08</c:v>
                </c:pt>
                <c:pt idx="9">
                  <c:v>35.83</c:v>
                </c:pt>
                <c:pt idx="10">
                  <c:v>48.25</c:v>
                </c:pt>
                <c:pt idx="11">
                  <c:v>54.08</c:v>
                </c:pt>
              </c:numCache>
            </c:numRef>
          </c:xVal>
          <c:yVal>
            <c:numRef>
              <c:f>R9_1034_LA_prod!$Q$21:$Q$32</c:f>
              <c:numCache>
                <c:formatCode>General</c:formatCode>
                <c:ptCount val="12"/>
                <c:pt idx="0">
                  <c:v>-0.176958502</c:v>
                </c:pt>
                <c:pt idx="1">
                  <c:v>-0.060576813</c:v>
                </c:pt>
                <c:pt idx="2">
                  <c:v>0.08583886</c:v>
                </c:pt>
                <c:pt idx="3">
                  <c:v>-0.034297077</c:v>
                </c:pt>
                <c:pt idx="4">
                  <c:v>-0.176958502</c:v>
                </c:pt>
                <c:pt idx="5">
                  <c:v>-0.086856549</c:v>
                </c:pt>
                <c:pt idx="6">
                  <c:v>-0.004263092</c:v>
                </c:pt>
                <c:pt idx="7">
                  <c:v>-0.18071275</c:v>
                </c:pt>
                <c:pt idx="8">
                  <c:v>-0.176958502</c:v>
                </c:pt>
                <c:pt idx="9">
                  <c:v>0.228500286</c:v>
                </c:pt>
                <c:pt idx="10">
                  <c:v>1.080714589</c:v>
                </c:pt>
                <c:pt idx="11">
                  <c:v>0.941807412</c:v>
                </c:pt>
              </c:numCache>
            </c:numRef>
          </c:yVal>
          <c:smooth val="0"/>
        </c:ser>
        <c:ser>
          <c:idx val="3"/>
          <c:order val="3"/>
          <c:tx>
            <c:strRef>
              <c:f>"Lactic Acid predicted values"</c:f>
              <c:strCache>
                <c:ptCount val="1"/>
                <c:pt idx="0">
                  <c:v>Lactic Acid predicted values</c:v>
                </c:pt>
              </c:strCache>
            </c:strRef>
          </c:tx>
          <c:spPr>
            <a:solidFill>
              <a:srgbClr val="a5a5a5">
                <a:alpha val="75000"/>
              </a:srgbClr>
            </a:solidFill>
            <a:ln w="19080">
              <a:solidFill>
                <a:srgbClr val="a5a5a5">
                  <a:alpha val="75000"/>
                </a:srgbClr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R9_1034_LA_prod!$M$21:$M$32</c:f>
              <c:numCache>
                <c:formatCode>General</c:formatCode>
                <c:ptCount val="12"/>
                <c:pt idx="0">
                  <c:v>1</c:v>
                </c:pt>
                <c:pt idx="1">
                  <c:v>3</c:v>
                </c:pt>
                <c:pt idx="2">
                  <c:v>6</c:v>
                </c:pt>
                <c:pt idx="3">
                  <c:v>9</c:v>
                </c:pt>
                <c:pt idx="4">
                  <c:v>12.17</c:v>
                </c:pt>
                <c:pt idx="5">
                  <c:v>24.17</c:v>
                </c:pt>
                <c:pt idx="6">
                  <c:v>27.08</c:v>
                </c:pt>
                <c:pt idx="7">
                  <c:v>30.08</c:v>
                </c:pt>
                <c:pt idx="8">
                  <c:v>33.08</c:v>
                </c:pt>
                <c:pt idx="9">
                  <c:v>35.83</c:v>
                </c:pt>
                <c:pt idx="10">
                  <c:v>48.25</c:v>
                </c:pt>
                <c:pt idx="11">
                  <c:v>54.08</c:v>
                </c:pt>
              </c:numCache>
            </c:numRef>
          </c:xVal>
          <c:yVal>
            <c:numRef>
              <c:f>R9_1034_LA_prod!$R$21:$R$32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0.000120481971641327</c:v>
                </c:pt>
                <c:pt idx="9">
                  <c:v>0.149976831576266</c:v>
                </c:pt>
                <c:pt idx="10">
                  <c:v>0.826736152461025</c:v>
                </c:pt>
                <c:pt idx="11">
                  <c:v>1.14406814643147</c:v>
                </c:pt>
              </c:numCache>
            </c:numRef>
          </c:yVal>
          <c:smooth val="0"/>
        </c:ser>
        <c:axId val="75378906"/>
        <c:axId val="1057425"/>
      </c:scatterChart>
      <c:valAx>
        <c:axId val="72847534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lang="es-ES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lang="es-ES" sz="1000" spc="-1" strike="noStrike">
                    <a:solidFill>
                      <a:srgbClr val="000000"/>
                    </a:solidFill>
                    <a:latin typeface="Calibri"/>
                  </a:rPr>
                  <a:t>Time (d)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" sourceLinked="0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333333"/>
                </a:solidFill>
                <a:latin typeface="Calibri"/>
                <a:ea typeface="Calibri"/>
              </a:defRPr>
            </a:pPr>
          </a:p>
        </c:txPr>
        <c:crossAx val="30919033"/>
        <c:crosses val="autoZero"/>
        <c:crossBetween val="midCat"/>
      </c:valAx>
      <c:valAx>
        <c:axId val="30919033"/>
        <c:scaling>
          <c:orientation val="minMax"/>
        </c:scaling>
        <c:delete val="0"/>
        <c:axPos val="l"/>
        <c:title>
          <c:tx>
            <c:rich>
              <a:bodyPr rot="-5400000"/>
              <a:lstStyle/>
              <a:p>
                <a:pPr>
                  <a:defRPr b="1" lang="es-ES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lang="es-ES" sz="1000" spc="-1" strike="noStrike">
                    <a:solidFill>
                      <a:srgbClr val="000000"/>
                    </a:solidFill>
                    <a:latin typeface="Calibri"/>
                  </a:rPr>
                  <a:t>LAB Log10 cfu/mL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72847534"/>
        <c:crosses val="autoZero"/>
        <c:crossBetween val="midCat"/>
      </c:valAx>
      <c:valAx>
        <c:axId val="75378906"/>
        <c:scaling>
          <c:orientation val="minMax"/>
        </c:scaling>
        <c:delete val="1"/>
        <c:axPos val="t"/>
        <c:numFmt formatCode="0.00" sourceLinked="1"/>
        <c:majorTickMark val="out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057425"/>
        <c:crossBetween val="midCat"/>
      </c:valAx>
      <c:valAx>
        <c:axId val="1057425"/>
        <c:scaling>
          <c:orientation val="minMax"/>
        </c:scaling>
        <c:delete val="0"/>
        <c:axPos val="r"/>
        <c:title>
          <c:tx>
            <c:rich>
              <a:bodyPr rot="-5400000"/>
              <a:lstStyle/>
              <a:p>
                <a:pPr>
                  <a:defRPr b="1" lang="ca-ES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lang="ca-ES" sz="1000" spc="-1" strike="noStrike">
                    <a:solidFill>
                      <a:srgbClr val="000000"/>
                    </a:solidFill>
                    <a:latin typeface="Calibri"/>
                  </a:rPr>
                  <a:t>Lactic Acid (mg/mL)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" sourceLinked="0"/>
        <c:majorTickMark val="out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75378906"/>
        <c:crosses val="max"/>
        <c:crossBetween val="midCat"/>
        <c:majorUnit val="0.5"/>
      </c:valAx>
      <c:spPr>
        <a:noFill/>
        <a:ln w="25560">
          <a:noFill/>
        </a:ln>
      </c:spPr>
    </c:plotArea>
    <c:legend>
      <c:legendPos val="b"/>
      <c:layout>
        <c:manualLayout>
          <c:xMode val="edge"/>
          <c:yMode val="edge"/>
          <c:x val="0.0844131632034972"/>
          <c:y val="0.864383149754188"/>
          <c:w val="0.809787966365984"/>
          <c:h val="0.106205074187538"/>
        </c:manualLayout>
      </c:layout>
      <c:overlay val="0"/>
      <c:spPr>
        <a:noFill/>
        <a:ln w="0">
          <a:noFill/>
        </a:ln>
      </c:spPr>
      <c:txPr>
        <a:bodyPr/>
        <a:lstStyle/>
        <a:p>
          <a:pPr>
            <a:defRPr b="0" sz="9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lang="es-ES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lang="es-ES" sz="1800" spc="-1" strike="noStrike">
                <a:solidFill>
                  <a:srgbClr val="000000"/>
                </a:solidFill>
                <a:latin typeface="Calibri"/>
              </a:rPr>
              <a:t>Aerobic with delay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63036136440392"/>
          <c:y val="0.222890637050748"/>
          <c:w val="0.602836879432624"/>
          <c:h val="0.541107511954342"/>
        </c:manualLayout>
      </c:layout>
      <c:scatterChart>
        <c:scatterStyle val="lineMarker"/>
        <c:varyColors val="0"/>
        <c:ser>
          <c:idx val="0"/>
          <c:order val="0"/>
          <c:spPr>
            <a:solidFill>
              <a:srgbClr val="ff0000"/>
            </a:solidFill>
            <a:ln w="28440">
              <a:noFill/>
            </a:ln>
          </c:spPr>
          <c:marker>
            <c:symbol val="circle"/>
            <c:size val="5"/>
            <c:spPr>
              <a:solidFill>
                <a:srgbClr val="ff0000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R9_494co_GR_log!$C$21:$C$29</c:f>
              <c:numCache>
                <c:formatCode>General</c:formatCode>
                <c:ptCount val="9"/>
                <c:pt idx="0">
                  <c:v>1</c:v>
                </c:pt>
                <c:pt idx="1">
                  <c:v>3</c:v>
                </c:pt>
                <c:pt idx="2">
                  <c:v>6</c:v>
                </c:pt>
                <c:pt idx="3">
                  <c:v>9</c:v>
                </c:pt>
                <c:pt idx="4">
                  <c:v>12.17</c:v>
                </c:pt>
                <c:pt idx="5">
                  <c:v>24.17</c:v>
                </c:pt>
                <c:pt idx="6">
                  <c:v>27.08</c:v>
                </c:pt>
                <c:pt idx="7">
                  <c:v>30.08</c:v>
                </c:pt>
                <c:pt idx="8">
                  <c:v>33.08</c:v>
                </c:pt>
              </c:numCache>
            </c:numRef>
          </c:xVal>
          <c:yVal>
            <c:numRef>
              <c:f>R9_494co_GR_log!$D$21:$D$29</c:f>
              <c:numCache>
                <c:formatCode>General</c:formatCode>
                <c:ptCount val="9"/>
                <c:pt idx="0">
                  <c:v>5.16</c:v>
                </c:pt>
                <c:pt idx="1">
                  <c:v>5.45</c:v>
                </c:pt>
                <c:pt idx="2">
                  <c:v>6.06</c:v>
                </c:pt>
                <c:pt idx="3">
                  <c:v>6.47</c:v>
                </c:pt>
                <c:pt idx="4">
                  <c:v>6.87</c:v>
                </c:pt>
                <c:pt idx="5">
                  <c:v>8.23</c:v>
                </c:pt>
                <c:pt idx="6">
                  <c:v>8.31</c:v>
                </c:pt>
                <c:pt idx="7">
                  <c:v>8.28</c:v>
                </c:pt>
                <c:pt idx="8">
                  <c:v>8.36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"25ºC predicted values"</c:f>
              <c:strCache>
                <c:ptCount val="1"/>
                <c:pt idx="0">
                  <c:v>25ºC predicted values</c:v>
                </c:pt>
              </c:strCache>
            </c:strRef>
          </c:tx>
          <c:spPr>
            <a:solidFill>
              <a:srgbClr val="ff0000"/>
            </a:solidFill>
            <a:ln w="28440">
              <a:solidFill>
                <a:srgbClr val="ff0000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R9_494co_GR_log!$C$21:$C$34</c:f>
              <c:numCache>
                <c:formatCode>General</c:formatCode>
                <c:ptCount val="14"/>
                <c:pt idx="0">
                  <c:v>1</c:v>
                </c:pt>
                <c:pt idx="1">
                  <c:v>3</c:v>
                </c:pt>
                <c:pt idx="2">
                  <c:v>6</c:v>
                </c:pt>
                <c:pt idx="3">
                  <c:v>9</c:v>
                </c:pt>
                <c:pt idx="4">
                  <c:v>12.17</c:v>
                </c:pt>
                <c:pt idx="5">
                  <c:v>24.17</c:v>
                </c:pt>
                <c:pt idx="6">
                  <c:v>27.08</c:v>
                </c:pt>
                <c:pt idx="7">
                  <c:v>30.08</c:v>
                </c:pt>
                <c:pt idx="8">
                  <c:v>33.08</c:v>
                </c:pt>
                <c:pt idx="9">
                  <c:v>35.83</c:v>
                </c:pt>
                <c:pt idx="10">
                  <c:v>48.25</c:v>
                </c:pt>
                <c:pt idx="11">
                  <c:v>54.08</c:v>
                </c:pt>
              </c:numCache>
            </c:numRef>
          </c:xVal>
          <c:yVal>
            <c:numRef>
              <c:f>R9_494co_GR_log!$F$21:$F$36</c:f>
              <c:numCache>
                <c:formatCode>General</c:formatCode>
                <c:ptCount val="16"/>
                <c:pt idx="0">
                  <c:v>5.17294772932501</c:v>
                </c:pt>
                <c:pt idx="1">
                  <c:v>5.49210032742311</c:v>
                </c:pt>
                <c:pt idx="2">
                  <c:v>5.97002880072235</c:v>
                </c:pt>
                <c:pt idx="3">
                  <c:v>6.44534388612362</c:v>
                </c:pt>
                <c:pt idx="4">
                  <c:v>6.93901834201704</c:v>
                </c:pt>
                <c:pt idx="5">
                  <c:v>8.21043237691351</c:v>
                </c:pt>
                <c:pt idx="6">
                  <c:v>8.27714728012529</c:v>
                </c:pt>
                <c:pt idx="7">
                  <c:v>8.30305034224853</c:v>
                </c:pt>
                <c:pt idx="8">
                  <c:v>8.31199563480942</c:v>
                </c:pt>
                <c:pt idx="9">
                  <c:v>8.31485976646268</c:v>
                </c:pt>
                <c:pt idx="10">
                  <c:v>8.31648802168214</c:v>
                </c:pt>
                <c:pt idx="11">
                  <c:v>8.3165031198899</c:v>
                </c:pt>
              </c:numCache>
            </c:numRef>
          </c:yVal>
          <c:smooth val="0"/>
        </c:ser>
        <c:axId val="76660329"/>
        <c:axId val="52136904"/>
      </c:scatterChart>
      <c:valAx>
        <c:axId val="76660329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lang="es-ES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lang="es-ES" sz="1000" spc="-1" strike="noStrike">
                    <a:solidFill>
                      <a:srgbClr val="000000"/>
                    </a:solidFill>
                    <a:latin typeface="Calibri"/>
                  </a:rPr>
                  <a:t>Time (d)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" sourceLinked="0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333333"/>
                </a:solidFill>
                <a:latin typeface="Calibri"/>
                <a:ea typeface="Calibri"/>
              </a:defRPr>
            </a:pPr>
          </a:p>
        </c:txPr>
        <c:crossAx val="52136904"/>
        <c:crosses val="autoZero"/>
        <c:crossBetween val="midCat"/>
      </c:valAx>
      <c:valAx>
        <c:axId val="52136904"/>
        <c:scaling>
          <c:orientation val="minMax"/>
        </c:scaling>
        <c:delete val="0"/>
        <c:axPos val="l"/>
        <c:title>
          <c:tx>
            <c:rich>
              <a:bodyPr rot="-5400000"/>
              <a:lstStyle/>
              <a:p>
                <a:pPr>
                  <a:defRPr b="1" lang="es-ES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lang="es-ES" sz="1000" spc="-1" strike="noStrike">
                    <a:solidFill>
                      <a:srgbClr val="000000"/>
                    </a:solidFill>
                    <a:latin typeface="Calibri"/>
                  </a:rPr>
                  <a:t>Log (N)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76660329"/>
        <c:crosses val="autoZero"/>
        <c:crossBetween val="midCat"/>
      </c:valAx>
      <c:spPr>
        <a:noFill/>
        <a:ln w="25560">
          <a:noFill/>
        </a:ln>
      </c:spPr>
    </c:plotArea>
    <c:legend>
      <c:legendPos val="r"/>
      <c:layout>
        <c:manualLayout>
          <c:xMode val="edge"/>
          <c:yMode val="edge"/>
          <c:x val="0.777159796201945"/>
          <c:y val="0.257352950403112"/>
          <c:w val="0.20401667438629"/>
          <c:h val="0.485161506206147"/>
        </c:manualLayout>
      </c:layout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lang="es-ES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lang="es-ES" sz="1800" spc="-1" strike="noStrike">
                <a:solidFill>
                  <a:srgbClr val="000000"/>
                </a:solidFill>
                <a:latin typeface="Calibri"/>
              </a:rPr>
              <a:t>Aerobic without delay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63036136440392"/>
          <c:y val="0.215292920482628"/>
          <c:w val="0.612293144208038"/>
          <c:h val="0.556912341910161"/>
        </c:manualLayout>
      </c:layout>
      <c:scatterChart>
        <c:scatterStyle val="lineMarker"/>
        <c:varyColors val="0"/>
        <c:ser>
          <c:idx val="0"/>
          <c:order val="0"/>
          <c:tx>
            <c:strRef>
              <c:f>"25ºC obtained values"</c:f>
              <c:strCache>
                <c:ptCount val="1"/>
                <c:pt idx="0">
                  <c:v>25ºC obtained values</c:v>
                </c:pt>
              </c:strCache>
            </c:strRef>
          </c:tx>
          <c:spPr>
            <a:solidFill>
              <a:srgbClr val="ff0000"/>
            </a:solidFill>
            <a:ln w="28440">
              <a:noFill/>
            </a:ln>
          </c:spPr>
          <c:marker>
            <c:symbol val="circle"/>
            <c:size val="5"/>
            <c:spPr>
              <a:solidFill>
                <a:srgbClr val="ff0000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R9_494co_GR_log!$N$21:$N$36</c:f>
              <c:numCache>
                <c:formatCode>General</c:formatCode>
                <c:ptCount val="16"/>
                <c:pt idx="0">
                  <c:v>1</c:v>
                </c:pt>
                <c:pt idx="1">
                  <c:v>3</c:v>
                </c:pt>
                <c:pt idx="2">
                  <c:v>6</c:v>
                </c:pt>
                <c:pt idx="3">
                  <c:v>9</c:v>
                </c:pt>
                <c:pt idx="4">
                  <c:v>12.17</c:v>
                </c:pt>
                <c:pt idx="5">
                  <c:v>24.17</c:v>
                </c:pt>
                <c:pt idx="6">
                  <c:v>27.08</c:v>
                </c:pt>
                <c:pt idx="7">
                  <c:v>30.08</c:v>
                </c:pt>
                <c:pt idx="8">
                  <c:v>33.08</c:v>
                </c:pt>
                <c:pt idx="9">
                  <c:v>35.83</c:v>
                </c:pt>
                <c:pt idx="10">
                  <c:v>48.25</c:v>
                </c:pt>
                <c:pt idx="11">
                  <c:v>54.08</c:v>
                </c:pt>
              </c:numCache>
            </c:numRef>
          </c:xVal>
          <c:yVal>
            <c:numRef>
              <c:f>R9_494co_GR_log!$O$21:$O$36</c:f>
              <c:numCache>
                <c:formatCode>General</c:formatCode>
                <c:ptCount val="16"/>
                <c:pt idx="0">
                  <c:v>5.16</c:v>
                </c:pt>
                <c:pt idx="1">
                  <c:v>5.45</c:v>
                </c:pt>
                <c:pt idx="2">
                  <c:v>6.06</c:v>
                </c:pt>
                <c:pt idx="3">
                  <c:v>6.47</c:v>
                </c:pt>
                <c:pt idx="4">
                  <c:v>6.87</c:v>
                </c:pt>
                <c:pt idx="5">
                  <c:v>8.23</c:v>
                </c:pt>
                <c:pt idx="6">
                  <c:v>8.31</c:v>
                </c:pt>
                <c:pt idx="7">
                  <c:v>8.28</c:v>
                </c:pt>
                <c:pt idx="8">
                  <c:v>8.36</c:v>
                </c:pt>
                <c:pt idx="9">
                  <c:v>8.41</c:v>
                </c:pt>
                <c:pt idx="10">
                  <c:v>8.26</c:v>
                </c:pt>
                <c:pt idx="11">
                  <c:v>8.21</c:v>
                </c:pt>
              </c:numCache>
            </c:numRef>
          </c:yVal>
          <c:smooth val="0"/>
        </c:ser>
        <c:ser>
          <c:idx val="1"/>
          <c:order val="1"/>
          <c:spPr>
            <a:solidFill>
              <a:srgbClr val="ff0000"/>
            </a:solidFill>
            <a:ln w="28440">
              <a:solidFill>
                <a:srgbClr val="ff0000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R9_494co_GR_log!$N$21:$N$32</c:f>
              <c:numCache>
                <c:formatCode>General</c:formatCode>
                <c:ptCount val="12"/>
                <c:pt idx="0">
                  <c:v>1</c:v>
                </c:pt>
                <c:pt idx="1">
                  <c:v>3</c:v>
                </c:pt>
                <c:pt idx="2">
                  <c:v>6</c:v>
                </c:pt>
                <c:pt idx="3">
                  <c:v>9</c:v>
                </c:pt>
                <c:pt idx="4">
                  <c:v>12.17</c:v>
                </c:pt>
                <c:pt idx="5">
                  <c:v>24.17</c:v>
                </c:pt>
                <c:pt idx="6">
                  <c:v>27.08</c:v>
                </c:pt>
                <c:pt idx="7">
                  <c:v>30.08</c:v>
                </c:pt>
                <c:pt idx="8">
                  <c:v>33.08</c:v>
                </c:pt>
                <c:pt idx="9">
                  <c:v>35.83</c:v>
                </c:pt>
                <c:pt idx="10">
                  <c:v>48.25</c:v>
                </c:pt>
                <c:pt idx="11">
                  <c:v>54.08</c:v>
                </c:pt>
              </c:numCache>
            </c:numRef>
          </c:xVal>
          <c:yVal>
            <c:numRef>
              <c:f>R9_494co_GR_log!$Q$21:$Q$32</c:f>
              <c:numCache>
                <c:formatCode>General</c:formatCode>
                <c:ptCount val="12"/>
                <c:pt idx="0">
                  <c:v>5.17294896609425</c:v>
                </c:pt>
                <c:pt idx="1">
                  <c:v>5.49210165113534</c:v>
                </c:pt>
                <c:pt idx="2">
                  <c:v>5.97003026897147</c:v>
                </c:pt>
                <c:pt idx="3">
                  <c:v>6.44534554397553</c:v>
                </c:pt>
                <c:pt idx="4">
                  <c:v>6.93902034190503</c:v>
                </c:pt>
                <c:pt idx="5">
                  <c:v>8.21044009729881</c:v>
                </c:pt>
                <c:pt idx="6">
                  <c:v>8.27715593278663</c:v>
                </c:pt>
                <c:pt idx="7">
                  <c:v>8.30305938997579</c:v>
                </c:pt>
                <c:pt idx="8">
                  <c:v>8.3120048220117</c:v>
                </c:pt>
                <c:pt idx="9">
                  <c:v>8.31486899815316</c:v>
                </c:pt>
                <c:pt idx="10">
                  <c:v>8.31649727815911</c:v>
                </c:pt>
                <c:pt idx="11">
                  <c:v>8.3165123765806</c:v>
                </c:pt>
              </c:numCache>
            </c:numRef>
          </c:yVal>
          <c:smooth val="0"/>
        </c:ser>
        <c:axId val="82727190"/>
        <c:axId val="7200465"/>
      </c:scatterChart>
      <c:valAx>
        <c:axId val="82727190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lang="es-ES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lang="es-ES" sz="1000" spc="-1" strike="noStrike">
                    <a:solidFill>
                      <a:srgbClr val="000000"/>
                    </a:solidFill>
                    <a:latin typeface="Calibri"/>
                  </a:rPr>
                  <a:t>Time (d)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" sourceLinked="0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333333"/>
                </a:solidFill>
                <a:latin typeface="Calibri"/>
                <a:ea typeface="Calibri"/>
              </a:defRPr>
            </a:pPr>
          </a:p>
        </c:txPr>
        <c:crossAx val="7200465"/>
        <c:crosses val="autoZero"/>
        <c:crossBetween val="midCat"/>
      </c:valAx>
      <c:valAx>
        <c:axId val="7200465"/>
        <c:scaling>
          <c:orientation val="minMax"/>
        </c:scaling>
        <c:delete val="0"/>
        <c:axPos val="l"/>
        <c:title>
          <c:tx>
            <c:rich>
              <a:bodyPr rot="-5400000"/>
              <a:lstStyle/>
              <a:p>
                <a:pPr>
                  <a:defRPr b="1" lang="es-ES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lang="es-ES" sz="1000" spc="-1" strike="noStrike">
                    <a:solidFill>
                      <a:srgbClr val="000000"/>
                    </a:solidFill>
                    <a:latin typeface="Calibri"/>
                  </a:rPr>
                  <a:t>Log (N)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82727190"/>
        <c:crosses val="autoZero"/>
        <c:crossBetween val="midCat"/>
      </c:valAx>
      <c:spPr>
        <a:noFill/>
        <a:ln w="25560">
          <a:noFill/>
        </a:ln>
      </c:spPr>
    </c:plotArea>
    <c:legend>
      <c:legendPos val="r"/>
      <c:layout>
        <c:manualLayout>
          <c:xMode val="edge"/>
          <c:yMode val="edge"/>
          <c:x val="0.777159796201945"/>
          <c:y val="0.209341813042601"/>
          <c:w val="0.20401667438629"/>
          <c:h val="0.642726428427216"/>
        </c:manualLayout>
      </c:layout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lang="es-ES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lang="es-ES" sz="1800" spc="-1" strike="noStrike">
                <a:solidFill>
                  <a:srgbClr val="000000"/>
                </a:solidFill>
                <a:latin typeface="Calibri"/>
              </a:rPr>
              <a:t>Aerobic with delay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61797752808989"/>
          <c:y val="0.223013048635824"/>
          <c:w val="0.602247191011236"/>
          <c:h val="0.541094729706829"/>
        </c:manualLayout>
      </c:layout>
      <c:scatterChart>
        <c:scatterStyle val="lineMarker"/>
        <c:varyColors val="0"/>
        <c:ser>
          <c:idx val="0"/>
          <c:order val="0"/>
          <c:spPr>
            <a:solidFill>
              <a:srgbClr val="4472c4"/>
            </a:solidFill>
            <a:ln w="19080">
              <a:solidFill>
                <a:srgbClr val="4472c4"/>
              </a:solidFill>
              <a:round/>
            </a:ln>
          </c:spPr>
          <c:marker>
            <c:symbol val="circle"/>
            <c:size val="5"/>
            <c:spPr>
              <a:solidFill>
                <a:srgbClr val="4472c4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[1]LA_prod!$B$21:$B$32</c:f>
              <c:numCache>
                <c:formatCode>General</c:formatCode>
                <c:ptCount val="12"/>
                <c:pt idx="0">
                  <c:v>1</c:v>
                </c:pt>
                <c:pt idx="1">
                  <c:v>3.25</c:v>
                </c:pt>
                <c:pt idx="2">
                  <c:v>6.00000000005821</c:v>
                </c:pt>
                <c:pt idx="3">
                  <c:v>9.00000000005821</c:v>
                </c:pt>
                <c:pt idx="4">
                  <c:v>12.0000000000582</c:v>
                </c:pt>
                <c:pt idx="5">
                  <c:v>24.4166666666861</c:v>
                </c:pt>
                <c:pt idx="6">
                  <c:v>27.25</c:v>
                </c:pt>
                <c:pt idx="7">
                  <c:v>30.0000000000582</c:v>
                </c:pt>
                <c:pt idx="8">
                  <c:v>33.0000000000582</c:v>
                </c:pt>
                <c:pt idx="9">
                  <c:v>35.8333333333721</c:v>
                </c:pt>
                <c:pt idx="10">
                  <c:v>48.5000000001164</c:v>
                </c:pt>
                <c:pt idx="11">
                  <c:v>54.0000000000582</c:v>
                </c:pt>
              </c:numCache>
            </c:numRef>
          </c:xVal>
          <c:yVal>
            <c:numRef>
              <c:f>[1]LA_prod!$C$21:$C$32</c:f>
              <c:numCache>
                <c:formatCode>General</c:formatCode>
                <c:ptCount val="12"/>
                <c:pt idx="0">
                  <c:v>5.12710479836481</c:v>
                </c:pt>
                <c:pt idx="1">
                  <c:v>5.62940959910272</c:v>
                </c:pt>
                <c:pt idx="2">
                  <c:v>5.95424250943933</c:v>
                </c:pt>
                <c:pt idx="3">
                  <c:v>6.52374646681157</c:v>
                </c:pt>
                <c:pt idx="4">
                  <c:v>6.88081359228079</c:v>
                </c:pt>
                <c:pt idx="5">
                  <c:v>8.11394335230684</c:v>
                </c:pt>
                <c:pt idx="6">
                  <c:v>7.57978359661681</c:v>
                </c:pt>
                <c:pt idx="7">
                  <c:v>8.09342168516224</c:v>
                </c:pt>
                <c:pt idx="8">
                  <c:v>8.09342168516224</c:v>
                </c:pt>
                <c:pt idx="9">
                  <c:v>8.10037054511756</c:v>
                </c:pt>
                <c:pt idx="10">
                  <c:v>8.17026171539496</c:v>
                </c:pt>
                <c:pt idx="11">
                  <c:v>8.2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"25ºC predicted values"</c:f>
              <c:strCache>
                <c:ptCount val="1"/>
                <c:pt idx="0">
                  <c:v>25ºC predicted values</c:v>
                </c:pt>
              </c:strCache>
            </c:strRef>
          </c:tx>
          <c:spPr>
            <a:solidFill>
              <a:srgbClr val="ed7d31"/>
            </a:solidFill>
            <a:ln w="19080">
              <a:solidFill>
                <a:srgbClr val="ed7d31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[1]LA_prod!$B$21:$B$36</c:f>
              <c:numCache>
                <c:formatCode>General</c:formatCode>
                <c:ptCount val="16"/>
                <c:pt idx="0">
                  <c:v>1</c:v>
                </c:pt>
                <c:pt idx="1">
                  <c:v>3.25</c:v>
                </c:pt>
                <c:pt idx="2">
                  <c:v>6.00000000005821</c:v>
                </c:pt>
                <c:pt idx="3">
                  <c:v>9.00000000005821</c:v>
                </c:pt>
                <c:pt idx="4">
                  <c:v>12.0000000000582</c:v>
                </c:pt>
                <c:pt idx="5">
                  <c:v>24.4166666666861</c:v>
                </c:pt>
                <c:pt idx="6">
                  <c:v>27.25</c:v>
                </c:pt>
                <c:pt idx="7">
                  <c:v>30.0000000000582</c:v>
                </c:pt>
                <c:pt idx="8">
                  <c:v>33.0000000000582</c:v>
                </c:pt>
                <c:pt idx="9">
                  <c:v>35.8333333333721</c:v>
                </c:pt>
                <c:pt idx="10">
                  <c:v>48.5000000001164</c:v>
                </c:pt>
                <c:pt idx="11">
                  <c:v>54.0000000000582</c:v>
                </c:pt>
              </c:numCache>
            </c:numRef>
          </c:xVal>
          <c:yVal>
            <c:numRef>
              <c:f>[1]LA_prod!$E$21:$E$36</c:f>
              <c:numCache>
                <c:formatCode>General</c:formatCode>
                <c:ptCount val="16"/>
                <c:pt idx="0">
                  <c:v>5.20027140890088</c:v>
                </c:pt>
                <c:pt idx="1">
                  <c:v>5.55533924725384</c:v>
                </c:pt>
                <c:pt idx="2">
                  <c:v>5.98792141344128</c:v>
                </c:pt>
                <c:pt idx="3">
                  <c:v>6.45519319125769</c:v>
                </c:pt>
                <c:pt idx="4">
                  <c:v>6.90896041887478</c:v>
                </c:pt>
                <c:pt idx="5">
                  <c:v>8.00576856091372</c:v>
                </c:pt>
                <c:pt idx="6">
                  <c:v>8.04261812058602</c:v>
                </c:pt>
                <c:pt idx="7">
                  <c:v>8.05630386861232</c:v>
                </c:pt>
                <c:pt idx="8">
                  <c:v>8.06170323478475</c:v>
                </c:pt>
                <c:pt idx="9">
                  <c:v>8.06347157820444</c:v>
                </c:pt>
                <c:pt idx="10">
                  <c:v>8.06444413088548</c:v>
                </c:pt>
                <c:pt idx="11">
                  <c:v>8.0644525765368</c:v>
                </c:pt>
              </c:numCache>
            </c:numRef>
          </c:yVal>
          <c:smooth val="0"/>
        </c:ser>
        <c:axId val="31838799"/>
        <c:axId val="46165435"/>
      </c:scatterChart>
      <c:scatterChart>
        <c:scatterStyle val="lineMarker"/>
        <c:varyColors val="0"/>
        <c:ser>
          <c:idx val="2"/>
          <c:order val="2"/>
          <c:tx>
            <c:strRef>
              <c:f>"LA"</c:f>
              <c:strCache>
                <c:ptCount val="1"/>
                <c:pt idx="0">
                  <c:v>LA</c:v>
                </c:pt>
              </c:strCache>
            </c:strRef>
          </c:tx>
          <c:spPr>
            <a:solidFill>
              <a:srgbClr val="99ccff"/>
            </a:solidFill>
            <a:ln w="19080">
              <a:noFill/>
            </a:ln>
          </c:spP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[1]LA_prod!$B$21:$B$32</c:f>
              <c:numCache>
                <c:formatCode>General</c:formatCode>
                <c:ptCount val="12"/>
                <c:pt idx="0">
                  <c:v>1</c:v>
                </c:pt>
                <c:pt idx="1">
                  <c:v>3.25</c:v>
                </c:pt>
                <c:pt idx="2">
                  <c:v>6.00000000005821</c:v>
                </c:pt>
                <c:pt idx="3">
                  <c:v>9.00000000005821</c:v>
                </c:pt>
                <c:pt idx="4">
                  <c:v>12.0000000000582</c:v>
                </c:pt>
                <c:pt idx="5">
                  <c:v>24.4166666666861</c:v>
                </c:pt>
                <c:pt idx="6">
                  <c:v>27.25</c:v>
                </c:pt>
                <c:pt idx="7">
                  <c:v>30.0000000000582</c:v>
                </c:pt>
                <c:pt idx="8">
                  <c:v>33.0000000000582</c:v>
                </c:pt>
                <c:pt idx="9">
                  <c:v>35.8333333333721</c:v>
                </c:pt>
                <c:pt idx="10">
                  <c:v>48.5000000001164</c:v>
                </c:pt>
                <c:pt idx="11">
                  <c:v>54.0000000000582</c:v>
                </c:pt>
              </c:numCache>
            </c:numRef>
          </c:xVal>
          <c:yVal>
            <c:numRef>
              <c:f>R9_494co_LA_prod!$Q$21:$Q$32</c:f>
              <c:numCache>
                <c:formatCode>General</c:formatCode>
                <c:ptCount val="12"/>
                <c:pt idx="0">
                  <c:v>-0.030542829</c:v>
                </c:pt>
                <c:pt idx="1">
                  <c:v>-0.053068317</c:v>
                </c:pt>
                <c:pt idx="2">
                  <c:v>-0.004263092</c:v>
                </c:pt>
                <c:pt idx="3">
                  <c:v>-0.079348053</c:v>
                </c:pt>
                <c:pt idx="4">
                  <c:v>-0.131907525</c:v>
                </c:pt>
                <c:pt idx="5">
                  <c:v>1.97422562</c:v>
                </c:pt>
                <c:pt idx="6">
                  <c:v>2.458523617</c:v>
                </c:pt>
                <c:pt idx="7">
                  <c:v>3.337017656</c:v>
                </c:pt>
                <c:pt idx="8">
                  <c:v>3.224390215</c:v>
                </c:pt>
                <c:pt idx="9">
                  <c:v>3.674899979</c:v>
                </c:pt>
                <c:pt idx="10">
                  <c:v>4.564656762</c:v>
                </c:pt>
                <c:pt idx="11">
                  <c:v>4.050324782</c:v>
                </c:pt>
              </c:numCache>
            </c:numRef>
          </c:yVal>
          <c:smooth val="0"/>
        </c:ser>
        <c:ser>
          <c:idx val="3"/>
          <c:order val="3"/>
          <c:tx>
            <c:strRef>
              <c:f>"LA pred"</c:f>
              <c:strCache>
                <c:ptCount val="1"/>
                <c:pt idx="0">
                  <c:v>LA pred</c:v>
                </c:pt>
              </c:strCache>
            </c:strRef>
          </c:tx>
          <c:spPr>
            <a:solidFill>
              <a:srgbClr val="99ccff"/>
            </a:solidFill>
            <a:ln w="19080">
              <a:noFill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[1]LA_prod!$B$21:$B$32</c:f>
              <c:numCache>
                <c:formatCode>General</c:formatCode>
                <c:ptCount val="12"/>
                <c:pt idx="0">
                  <c:v>1</c:v>
                </c:pt>
                <c:pt idx="1">
                  <c:v>3.25</c:v>
                </c:pt>
                <c:pt idx="2">
                  <c:v>6.00000000005821</c:v>
                </c:pt>
                <c:pt idx="3">
                  <c:v>9.00000000005821</c:v>
                </c:pt>
                <c:pt idx="4">
                  <c:v>12.0000000000582</c:v>
                </c:pt>
                <c:pt idx="5">
                  <c:v>24.4166666666861</c:v>
                </c:pt>
                <c:pt idx="6">
                  <c:v>27.25</c:v>
                </c:pt>
                <c:pt idx="7">
                  <c:v>30.0000000000582</c:v>
                </c:pt>
                <c:pt idx="8">
                  <c:v>33.0000000000582</c:v>
                </c:pt>
                <c:pt idx="9">
                  <c:v>35.8333333333721</c:v>
                </c:pt>
                <c:pt idx="10">
                  <c:v>48.5000000001164</c:v>
                </c:pt>
                <c:pt idx="11">
                  <c:v>54.0000000000582</c:v>
                </c:pt>
              </c:numCache>
            </c:numRef>
          </c:xVal>
          <c:yVal>
            <c:numRef>
              <c:f>[1]LA_prod!$G$21:$G$32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1.60968058417157</c:v>
                </c:pt>
                <c:pt idx="6">
                  <c:v>2.22671660021111</c:v>
                </c:pt>
                <c:pt idx="7">
                  <c:v>2.79431303244187</c:v>
                </c:pt>
                <c:pt idx="8">
                  <c:v>3.33241486569026</c:v>
                </c:pt>
                <c:pt idx="9">
                  <c:v>3.7033260899816</c:v>
                </c:pt>
                <c:pt idx="10">
                  <c:v>4.07401797941659</c:v>
                </c:pt>
                <c:pt idx="11">
                  <c:v>4.07844017513263</c:v>
                </c:pt>
              </c:numCache>
            </c:numRef>
          </c:yVal>
          <c:smooth val="0"/>
        </c:ser>
        <c:axId val="99321104"/>
        <c:axId val="95131696"/>
      </c:scatterChart>
      <c:valAx>
        <c:axId val="31838799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lang="es-ES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lang="es-ES" sz="1000" spc="-1" strike="noStrike">
                    <a:solidFill>
                      <a:srgbClr val="000000"/>
                    </a:solidFill>
                    <a:latin typeface="Calibri"/>
                  </a:rPr>
                  <a:t>Time (d)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" sourceLinked="0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333333"/>
                </a:solidFill>
                <a:latin typeface="Calibri"/>
                <a:ea typeface="Calibri"/>
              </a:defRPr>
            </a:pPr>
          </a:p>
        </c:txPr>
        <c:crossAx val="46165435"/>
        <c:crosses val="autoZero"/>
        <c:crossBetween val="midCat"/>
      </c:valAx>
      <c:valAx>
        <c:axId val="46165435"/>
        <c:scaling>
          <c:orientation val="minMax"/>
        </c:scaling>
        <c:delete val="0"/>
        <c:axPos val="l"/>
        <c:title>
          <c:tx>
            <c:rich>
              <a:bodyPr rot="-5400000"/>
              <a:lstStyle/>
              <a:p>
                <a:pPr>
                  <a:defRPr b="1" lang="es-ES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lang="es-ES" sz="1000" spc="-1" strike="noStrike">
                    <a:solidFill>
                      <a:srgbClr val="000000"/>
                    </a:solidFill>
                    <a:latin typeface="Calibri"/>
                  </a:rPr>
                  <a:t>Log (N)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31838799"/>
        <c:crosses val="autoZero"/>
        <c:crossBetween val="midCat"/>
      </c:valAx>
      <c:valAx>
        <c:axId val="99321104"/>
        <c:scaling>
          <c:orientation val="minMax"/>
        </c:scaling>
        <c:delete val="1"/>
        <c:axPos val="t"/>
        <c:numFmt formatCode="General" sourceLinked="1"/>
        <c:majorTickMark val="out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5131696"/>
        <c:crossBetween val="midCat"/>
      </c:valAx>
      <c:valAx>
        <c:axId val="95131696"/>
        <c:scaling>
          <c:orientation val="minMax"/>
        </c:scaling>
        <c:delete val="0"/>
        <c:axPos val="r"/>
        <c:numFmt formatCode="General" sourceLinked="0"/>
        <c:majorTickMark val="out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9321104"/>
        <c:crosses val="max"/>
        <c:crossBetween val="midCat"/>
      </c:valAx>
      <c:spPr>
        <a:noFill/>
        <a:ln w="25560">
          <a:noFill/>
        </a:ln>
      </c:spPr>
    </c:plotArea>
    <c:legend>
      <c:legendPos val="r"/>
      <c:layout>
        <c:manualLayout>
          <c:xMode val="edge"/>
          <c:yMode val="edge"/>
          <c:x val="0.777159796201945"/>
          <c:y val="0.257352950403112"/>
          <c:w val="0.222840203798055"/>
          <c:h val="0.665361494825554"/>
        </c:manualLayout>
      </c:layout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lang="es-ES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lang="es-ES" sz="1800" spc="-1" strike="noStrike">
                <a:solidFill>
                  <a:srgbClr val="000000"/>
                </a:solidFill>
                <a:latin typeface="Calibri"/>
              </a:rPr>
              <a:t>Aerobic without delay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63036136440392"/>
          <c:y val="0.215172786177106"/>
          <c:w val="0.612293144208038"/>
          <c:h val="0.488390928725702"/>
        </c:manualLayout>
      </c:layout>
      <c:scatterChart>
        <c:scatterStyle val="lineMarker"/>
        <c:varyColors val="0"/>
        <c:ser>
          <c:idx val="0"/>
          <c:order val="0"/>
          <c:tx>
            <c:strRef>
              <c:f>"LAB obtained values"</c:f>
              <c:strCache>
                <c:ptCount val="1"/>
                <c:pt idx="0">
                  <c:v>LAB obtained values</c:v>
                </c:pt>
              </c:strCache>
            </c:strRef>
          </c:tx>
          <c:spPr>
            <a:solidFill>
              <a:srgbClr val="ff0000"/>
            </a:solidFill>
            <a:ln w="28440">
              <a:noFill/>
            </a:ln>
          </c:spPr>
          <c:marker>
            <c:symbol val="circle"/>
            <c:size val="5"/>
            <c:spPr>
              <a:solidFill>
                <a:srgbClr val="ff0000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R9_494co_LA_prod!$M$21:$M$36</c:f>
              <c:numCache>
                <c:formatCode>General</c:formatCode>
                <c:ptCount val="16"/>
                <c:pt idx="0">
                  <c:v>1</c:v>
                </c:pt>
                <c:pt idx="1">
                  <c:v>3.25</c:v>
                </c:pt>
                <c:pt idx="2">
                  <c:v>6.00000000005821</c:v>
                </c:pt>
                <c:pt idx="3">
                  <c:v>9.00000000005821</c:v>
                </c:pt>
                <c:pt idx="4">
                  <c:v>12.0000000000582</c:v>
                </c:pt>
                <c:pt idx="5">
                  <c:v>24.4166666666861</c:v>
                </c:pt>
                <c:pt idx="6">
                  <c:v>27.25</c:v>
                </c:pt>
                <c:pt idx="7">
                  <c:v>30.0000000000582</c:v>
                </c:pt>
                <c:pt idx="8">
                  <c:v>33.0000000000582</c:v>
                </c:pt>
                <c:pt idx="9">
                  <c:v>35.8333333333721</c:v>
                </c:pt>
                <c:pt idx="10">
                  <c:v>48.5000000001164</c:v>
                </c:pt>
                <c:pt idx="11">
                  <c:v>54</c:v>
                </c:pt>
              </c:numCache>
            </c:numRef>
          </c:xVal>
          <c:yVal>
            <c:numRef>
              <c:f>R9_494co_LA_prod!$N$21:$N$36</c:f>
              <c:numCache>
                <c:formatCode>General</c:formatCode>
                <c:ptCount val="16"/>
                <c:pt idx="0">
                  <c:v>5.16</c:v>
                </c:pt>
                <c:pt idx="1">
                  <c:v>5.45</c:v>
                </c:pt>
                <c:pt idx="2">
                  <c:v>6.06</c:v>
                </c:pt>
                <c:pt idx="3">
                  <c:v>6.47</c:v>
                </c:pt>
                <c:pt idx="4">
                  <c:v>6.87</c:v>
                </c:pt>
                <c:pt idx="5">
                  <c:v>8.23</c:v>
                </c:pt>
                <c:pt idx="6">
                  <c:v>8.31</c:v>
                </c:pt>
                <c:pt idx="7">
                  <c:v>8.28</c:v>
                </c:pt>
                <c:pt idx="8">
                  <c:v>8.36</c:v>
                </c:pt>
                <c:pt idx="9">
                  <c:v>8.41</c:v>
                </c:pt>
                <c:pt idx="10">
                  <c:v>8.26</c:v>
                </c:pt>
                <c:pt idx="11">
                  <c:v>8.21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"LAB predicted values"</c:f>
              <c:strCache>
                <c:ptCount val="1"/>
                <c:pt idx="0">
                  <c:v>LAB predicted values</c:v>
                </c:pt>
              </c:strCache>
            </c:strRef>
          </c:tx>
          <c:spPr>
            <a:solidFill>
              <a:srgbClr val="ff0000"/>
            </a:solidFill>
            <a:ln w="28440">
              <a:solidFill>
                <a:srgbClr val="ff0000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R9_494co_LA_prod!$M$21:$M$36</c:f>
              <c:numCache>
                <c:formatCode>General</c:formatCode>
                <c:ptCount val="16"/>
                <c:pt idx="0">
                  <c:v>1</c:v>
                </c:pt>
                <c:pt idx="1">
                  <c:v>3.25</c:v>
                </c:pt>
                <c:pt idx="2">
                  <c:v>6.00000000005821</c:v>
                </c:pt>
                <c:pt idx="3">
                  <c:v>9.00000000005821</c:v>
                </c:pt>
                <c:pt idx="4">
                  <c:v>12.0000000000582</c:v>
                </c:pt>
                <c:pt idx="5">
                  <c:v>24.4166666666861</c:v>
                </c:pt>
                <c:pt idx="6">
                  <c:v>27.25</c:v>
                </c:pt>
                <c:pt idx="7">
                  <c:v>30.0000000000582</c:v>
                </c:pt>
                <c:pt idx="8">
                  <c:v>33.0000000000582</c:v>
                </c:pt>
                <c:pt idx="9">
                  <c:v>35.8333333333721</c:v>
                </c:pt>
                <c:pt idx="10">
                  <c:v>48.5000000001164</c:v>
                </c:pt>
                <c:pt idx="11">
                  <c:v>54</c:v>
                </c:pt>
              </c:numCache>
            </c:numRef>
          </c:xVal>
          <c:yVal>
            <c:numRef>
              <c:f>R9_494co_LA_prod!$P$21:$P$36</c:f>
              <c:numCache>
                <c:formatCode>General</c:formatCode>
                <c:ptCount val="16"/>
                <c:pt idx="0">
                  <c:v>5.17294896609425</c:v>
                </c:pt>
                <c:pt idx="1">
                  <c:v>5.53197544560025</c:v>
                </c:pt>
                <c:pt idx="2">
                  <c:v>5.97003026898072</c:v>
                </c:pt>
                <c:pt idx="3">
                  <c:v>6.4453455439847</c:v>
                </c:pt>
                <c:pt idx="4">
                  <c:v>6.91296871787</c:v>
                </c:pt>
                <c:pt idx="5">
                  <c:v>8.21868088095578</c:v>
                </c:pt>
                <c:pt idx="6">
                  <c:v>8.27944277823131</c:v>
                </c:pt>
                <c:pt idx="7">
                  <c:v>8.30266391750254</c:v>
                </c:pt>
                <c:pt idx="8">
                  <c:v>8.31187086825018</c:v>
                </c:pt>
                <c:pt idx="9">
                  <c:v>8.3148710105009</c:v>
                </c:pt>
                <c:pt idx="10">
                  <c:v>8.31649878060848</c:v>
                </c:pt>
                <c:pt idx="11">
                  <c:v>8.31651231675782</c:v>
                </c:pt>
              </c:numCache>
            </c:numRef>
          </c:yVal>
          <c:smooth val="0"/>
        </c:ser>
        <c:axId val="99904809"/>
        <c:axId val="16193099"/>
      </c:scatterChart>
      <c:scatterChart>
        <c:scatterStyle val="lineMarker"/>
        <c:varyColors val="0"/>
        <c:ser>
          <c:idx val="2"/>
          <c:order val="2"/>
          <c:tx>
            <c:strRef>
              <c:f>"Lactic Acid obtained values"</c:f>
              <c:strCache>
                <c:ptCount val="1"/>
                <c:pt idx="0">
                  <c:v>Lactic Acid obtained values</c:v>
                </c:pt>
              </c:strCache>
            </c:strRef>
          </c:tx>
          <c:spPr>
            <a:solidFill>
              <a:srgbClr val="99ccff"/>
            </a:solidFill>
            <a:ln w="19080">
              <a:noFill/>
            </a:ln>
          </c:spP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R9_494co_LA_prod!$M$21:$M$32</c:f>
              <c:numCache>
                <c:formatCode>General</c:formatCode>
                <c:ptCount val="12"/>
                <c:pt idx="0">
                  <c:v>1</c:v>
                </c:pt>
                <c:pt idx="1">
                  <c:v>3.25</c:v>
                </c:pt>
                <c:pt idx="2">
                  <c:v>6.00000000005821</c:v>
                </c:pt>
                <c:pt idx="3">
                  <c:v>9.00000000005821</c:v>
                </c:pt>
                <c:pt idx="4">
                  <c:v>12.0000000000582</c:v>
                </c:pt>
                <c:pt idx="5">
                  <c:v>24.4166666666861</c:v>
                </c:pt>
                <c:pt idx="6">
                  <c:v>27.25</c:v>
                </c:pt>
                <c:pt idx="7">
                  <c:v>30.0000000000582</c:v>
                </c:pt>
                <c:pt idx="8">
                  <c:v>33.0000000000582</c:v>
                </c:pt>
                <c:pt idx="9">
                  <c:v>35.8333333333721</c:v>
                </c:pt>
                <c:pt idx="10">
                  <c:v>48.5000000001164</c:v>
                </c:pt>
                <c:pt idx="11">
                  <c:v>54</c:v>
                </c:pt>
              </c:numCache>
            </c:numRef>
          </c:xVal>
          <c:yVal>
            <c:numRef>
              <c:f>R9_494co_LA_prod!$Q$21:$Q$32</c:f>
              <c:numCache>
                <c:formatCode>General</c:formatCode>
                <c:ptCount val="12"/>
                <c:pt idx="0">
                  <c:v>-0.030542829</c:v>
                </c:pt>
                <c:pt idx="1">
                  <c:v>-0.053068317</c:v>
                </c:pt>
                <c:pt idx="2">
                  <c:v>-0.004263092</c:v>
                </c:pt>
                <c:pt idx="3">
                  <c:v>-0.079348053</c:v>
                </c:pt>
                <c:pt idx="4">
                  <c:v>-0.131907525</c:v>
                </c:pt>
                <c:pt idx="5">
                  <c:v>1.97422562</c:v>
                </c:pt>
                <c:pt idx="6">
                  <c:v>2.458523617</c:v>
                </c:pt>
                <c:pt idx="7">
                  <c:v>3.337017656</c:v>
                </c:pt>
                <c:pt idx="8">
                  <c:v>3.224390215</c:v>
                </c:pt>
                <c:pt idx="9">
                  <c:v>3.674899979</c:v>
                </c:pt>
                <c:pt idx="10">
                  <c:v>4.564656762</c:v>
                </c:pt>
                <c:pt idx="11">
                  <c:v>4.050324782</c:v>
                </c:pt>
              </c:numCache>
            </c:numRef>
          </c:yVal>
          <c:smooth val="0"/>
        </c:ser>
        <c:ser>
          <c:idx val="3"/>
          <c:order val="3"/>
          <c:tx>
            <c:strRef>
              <c:f>"Lactic Acid predicted values"</c:f>
              <c:strCache>
                <c:ptCount val="1"/>
                <c:pt idx="0">
                  <c:v>Lactic Acid predicted values</c:v>
                </c:pt>
              </c:strCache>
            </c:strRef>
          </c:tx>
          <c:spPr>
            <a:solidFill>
              <a:srgbClr val="a5a5a5">
                <a:alpha val="75000"/>
              </a:srgbClr>
            </a:solidFill>
            <a:ln w="19080">
              <a:solidFill>
                <a:srgbClr val="a5a5a5">
                  <a:alpha val="75000"/>
                </a:srgbClr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R9_494co_LA_prod!$M$21:$M$32</c:f>
              <c:numCache>
                <c:formatCode>General</c:formatCode>
                <c:ptCount val="12"/>
                <c:pt idx="0">
                  <c:v>1</c:v>
                </c:pt>
                <c:pt idx="1">
                  <c:v>3.25</c:v>
                </c:pt>
                <c:pt idx="2">
                  <c:v>6.00000000005821</c:v>
                </c:pt>
                <c:pt idx="3">
                  <c:v>9.00000000005821</c:v>
                </c:pt>
                <c:pt idx="4">
                  <c:v>12.0000000000582</c:v>
                </c:pt>
                <c:pt idx="5">
                  <c:v>24.4166666666861</c:v>
                </c:pt>
                <c:pt idx="6">
                  <c:v>27.25</c:v>
                </c:pt>
                <c:pt idx="7">
                  <c:v>30.0000000000582</c:v>
                </c:pt>
                <c:pt idx="8">
                  <c:v>33.0000000000582</c:v>
                </c:pt>
                <c:pt idx="9">
                  <c:v>35.8333333333721</c:v>
                </c:pt>
                <c:pt idx="10">
                  <c:v>48.5000000001164</c:v>
                </c:pt>
                <c:pt idx="11">
                  <c:v>54</c:v>
                </c:pt>
              </c:numCache>
            </c:numRef>
          </c:xVal>
          <c:yVal>
            <c:numRef>
              <c:f>R9_494co_LA_prod!$R$21:$R$32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1.93257574205581</c:v>
                </c:pt>
                <c:pt idx="6">
                  <c:v>2.49452365172496</c:v>
                </c:pt>
                <c:pt idx="7">
                  <c:v>3.01402016515575</c:v>
                </c:pt>
                <c:pt idx="8">
                  <c:v>3.51172043593331</c:v>
                </c:pt>
                <c:pt idx="9">
                  <c:v>3.86047459504459</c:v>
                </c:pt>
                <c:pt idx="10">
                  <c:v>4.2150357930806</c:v>
                </c:pt>
                <c:pt idx="11">
                  <c:v>4.21917130022166</c:v>
                </c:pt>
              </c:numCache>
            </c:numRef>
          </c:yVal>
          <c:smooth val="0"/>
        </c:ser>
        <c:axId val="90313101"/>
        <c:axId val="8632445"/>
      </c:scatterChart>
      <c:valAx>
        <c:axId val="99904809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lang="es-ES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lang="es-ES" sz="1000" spc="-1" strike="noStrike">
                    <a:solidFill>
                      <a:srgbClr val="000000"/>
                    </a:solidFill>
                    <a:latin typeface="Calibri"/>
                  </a:rPr>
                  <a:t>Time (d)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" sourceLinked="0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333333"/>
                </a:solidFill>
                <a:latin typeface="Calibri"/>
                <a:ea typeface="Calibri"/>
              </a:defRPr>
            </a:pPr>
          </a:p>
        </c:txPr>
        <c:crossAx val="16193099"/>
        <c:crosses val="autoZero"/>
        <c:crossBetween val="midCat"/>
      </c:valAx>
      <c:valAx>
        <c:axId val="16193099"/>
        <c:scaling>
          <c:orientation val="minMax"/>
        </c:scaling>
        <c:delete val="0"/>
        <c:axPos val="l"/>
        <c:title>
          <c:tx>
            <c:rich>
              <a:bodyPr rot="-5400000"/>
              <a:lstStyle/>
              <a:p>
                <a:pPr>
                  <a:defRPr b="1" lang="es-ES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lang="es-ES" sz="1000" spc="-1" strike="noStrike">
                    <a:solidFill>
                      <a:srgbClr val="000000"/>
                    </a:solidFill>
                    <a:latin typeface="Calibri"/>
                  </a:rPr>
                  <a:t>LAB Log10 cfu/mL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99904809"/>
        <c:crosses val="autoZero"/>
        <c:crossBetween val="midCat"/>
      </c:valAx>
      <c:valAx>
        <c:axId val="90313101"/>
        <c:scaling>
          <c:orientation val="minMax"/>
        </c:scaling>
        <c:delete val="1"/>
        <c:axPos val="t"/>
        <c:numFmt formatCode="0.00" sourceLinked="1"/>
        <c:majorTickMark val="out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632445"/>
        <c:crossBetween val="midCat"/>
      </c:valAx>
      <c:valAx>
        <c:axId val="8632445"/>
        <c:scaling>
          <c:orientation val="minMax"/>
        </c:scaling>
        <c:delete val="0"/>
        <c:axPos val="r"/>
        <c:title>
          <c:tx>
            <c:rich>
              <a:bodyPr rot="-5400000"/>
              <a:lstStyle/>
              <a:p>
                <a:pPr>
                  <a:defRPr b="1" lang="ca-ES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lang="ca-ES" sz="1000" spc="-1" strike="noStrike">
                    <a:solidFill>
                      <a:srgbClr val="000000"/>
                    </a:solidFill>
                    <a:latin typeface="Calibri"/>
                  </a:rPr>
                  <a:t>Lactic Acid (mg/mL)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" sourceLinked="0"/>
        <c:majorTickMark val="out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90313101"/>
        <c:crosses val="max"/>
        <c:crossBetween val="midCat"/>
        <c:majorUnit val="0.5"/>
      </c:valAx>
      <c:spPr>
        <a:noFill/>
        <a:ln w="25560">
          <a:noFill/>
        </a:ln>
      </c:spPr>
    </c:plotArea>
    <c:legend>
      <c:legendPos val="b"/>
      <c:layout>
        <c:manualLayout>
          <c:xMode val="edge"/>
          <c:yMode val="edge"/>
          <c:x val="0.0844131632034972"/>
          <c:y val="0.864383149754188"/>
          <c:w val="0.809787966365984"/>
          <c:h val="0.106205074187538"/>
        </c:manualLayout>
      </c:layout>
      <c:overlay val="0"/>
      <c:spPr>
        <a:noFill/>
        <a:ln w="0">
          <a:noFill/>
        </a:ln>
      </c:spPr>
      <c:txPr>
        <a:bodyPr/>
        <a:lstStyle/>
        <a:p>
          <a:pPr>
            <a:defRPr b="0" sz="9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lang="es-ES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lang="es-ES" sz="1800" spc="-1" strike="noStrike">
                <a:solidFill>
                  <a:srgbClr val="000000"/>
                </a:solidFill>
                <a:latin typeface="Calibri"/>
              </a:rPr>
              <a:t>Aerobic with delay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63036136440392"/>
          <c:y val="0.222890637050748"/>
          <c:w val="0.602836879432624"/>
          <c:h val="0.541107511954342"/>
        </c:manualLayout>
      </c:layout>
      <c:scatterChart>
        <c:scatterStyle val="lineMarker"/>
        <c:varyColors val="0"/>
        <c:ser>
          <c:idx val="0"/>
          <c:order val="0"/>
          <c:spPr>
            <a:solidFill>
              <a:srgbClr val="ff0000"/>
            </a:solidFill>
            <a:ln w="28440">
              <a:noFill/>
            </a:ln>
          </c:spPr>
          <c:marker>
            <c:symbol val="circle"/>
            <c:size val="5"/>
            <c:spPr>
              <a:solidFill>
                <a:srgbClr val="ff0000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'R9_23Kco_GR_log '!$C$21:$C$32</c:f>
              <c:numCache>
                <c:formatCode>General</c:formatCode>
                <c:ptCount val="12"/>
                <c:pt idx="0">
                  <c:v>1</c:v>
                </c:pt>
                <c:pt idx="1">
                  <c:v>3</c:v>
                </c:pt>
                <c:pt idx="2">
                  <c:v>6</c:v>
                </c:pt>
                <c:pt idx="3">
                  <c:v>9</c:v>
                </c:pt>
                <c:pt idx="4">
                  <c:v>12.17</c:v>
                </c:pt>
                <c:pt idx="5">
                  <c:v>24.17</c:v>
                </c:pt>
                <c:pt idx="6">
                  <c:v>27.08</c:v>
                </c:pt>
                <c:pt idx="7">
                  <c:v>30.08</c:v>
                </c:pt>
                <c:pt idx="8">
                  <c:v>33.08</c:v>
                </c:pt>
                <c:pt idx="9">
                  <c:v>35.83</c:v>
                </c:pt>
                <c:pt idx="10">
                  <c:v>48.25</c:v>
                </c:pt>
                <c:pt idx="11">
                  <c:v>54.08</c:v>
                </c:pt>
              </c:numCache>
            </c:numRef>
          </c:xVal>
          <c:yVal>
            <c:numRef>
              <c:f>'R9_23Kco_GR_log '!$D$21:$D$32</c:f>
              <c:numCache>
                <c:formatCode>General</c:formatCode>
                <c:ptCount val="12"/>
                <c:pt idx="0">
                  <c:v>5.31</c:v>
                </c:pt>
                <c:pt idx="1">
                  <c:v>5.66</c:v>
                </c:pt>
                <c:pt idx="2">
                  <c:v>6.14</c:v>
                </c:pt>
                <c:pt idx="3">
                  <c:v>6.57</c:v>
                </c:pt>
                <c:pt idx="4">
                  <c:v>7.08</c:v>
                </c:pt>
                <c:pt idx="5">
                  <c:v>8.3</c:v>
                </c:pt>
                <c:pt idx="6">
                  <c:v>8.29</c:v>
                </c:pt>
                <c:pt idx="7">
                  <c:v>8.38</c:v>
                </c:pt>
                <c:pt idx="8">
                  <c:v>8.3</c:v>
                </c:pt>
                <c:pt idx="9">
                  <c:v>8.27</c:v>
                </c:pt>
                <c:pt idx="10">
                  <c:v>8.19</c:v>
                </c:pt>
                <c:pt idx="11">
                  <c:v>8.27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"25ºC predicted values"</c:f>
              <c:strCache>
                <c:ptCount val="1"/>
                <c:pt idx="0">
                  <c:v>25ºC predicted values</c:v>
                </c:pt>
              </c:strCache>
            </c:strRef>
          </c:tx>
          <c:spPr>
            <a:solidFill>
              <a:srgbClr val="ff0000"/>
            </a:solidFill>
            <a:ln w="28440">
              <a:solidFill>
                <a:srgbClr val="ff0000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'R9_23Kco_GR_log '!$C$21:$C$36</c:f>
              <c:numCache>
                <c:formatCode>General</c:formatCode>
                <c:ptCount val="16"/>
                <c:pt idx="0">
                  <c:v>1</c:v>
                </c:pt>
                <c:pt idx="1">
                  <c:v>3</c:v>
                </c:pt>
                <c:pt idx="2">
                  <c:v>6</c:v>
                </c:pt>
                <c:pt idx="3">
                  <c:v>9</c:v>
                </c:pt>
                <c:pt idx="4">
                  <c:v>12.17</c:v>
                </c:pt>
                <c:pt idx="5">
                  <c:v>24.17</c:v>
                </c:pt>
                <c:pt idx="6">
                  <c:v>27.08</c:v>
                </c:pt>
                <c:pt idx="7">
                  <c:v>30.08</c:v>
                </c:pt>
                <c:pt idx="8">
                  <c:v>33.08</c:v>
                </c:pt>
                <c:pt idx="9">
                  <c:v>35.83</c:v>
                </c:pt>
                <c:pt idx="10">
                  <c:v>48.25</c:v>
                </c:pt>
                <c:pt idx="11">
                  <c:v>54.08</c:v>
                </c:pt>
              </c:numCache>
            </c:numRef>
          </c:xVal>
          <c:yVal>
            <c:numRef>
              <c:f>'R9_23Kco_GR_log '!$F$21:$F$36</c:f>
              <c:numCache>
                <c:formatCode>General</c:formatCode>
                <c:ptCount val="16"/>
                <c:pt idx="0">
                  <c:v>5.31429481296766</c:v>
                </c:pt>
                <c:pt idx="1">
                  <c:v>5.63795533398926</c:v>
                </c:pt>
                <c:pt idx="2">
                  <c:v>6.12224130114521</c:v>
                </c:pt>
                <c:pt idx="3">
                  <c:v>6.60254933601388</c:v>
                </c:pt>
                <c:pt idx="4">
                  <c:v>7.09697650977458</c:v>
                </c:pt>
                <c:pt idx="5">
                  <c:v>8.23062368389379</c:v>
                </c:pt>
                <c:pt idx="6">
                  <c:v>8.27438768648097</c:v>
                </c:pt>
                <c:pt idx="7">
                  <c:v>8.2904868647546</c:v>
                </c:pt>
                <c:pt idx="8">
                  <c:v>8.29587364119356</c:v>
                </c:pt>
                <c:pt idx="9">
                  <c:v>8.297562314213</c:v>
                </c:pt>
                <c:pt idx="10">
                  <c:v>8.29849899163016</c:v>
                </c:pt>
                <c:pt idx="11">
                  <c:v>8.29850713742708</c:v>
                </c:pt>
              </c:numCache>
            </c:numRef>
          </c:yVal>
          <c:smooth val="0"/>
        </c:ser>
        <c:axId val="84637734"/>
        <c:axId val="56920488"/>
      </c:scatterChart>
      <c:valAx>
        <c:axId val="84637734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lang="es-ES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lang="es-ES" sz="1000" spc="-1" strike="noStrike">
                    <a:solidFill>
                      <a:srgbClr val="000000"/>
                    </a:solidFill>
                    <a:latin typeface="Calibri"/>
                  </a:rPr>
                  <a:t>Time (d)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" sourceLinked="0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333333"/>
                </a:solidFill>
                <a:latin typeface="Calibri"/>
                <a:ea typeface="Calibri"/>
              </a:defRPr>
            </a:pPr>
          </a:p>
        </c:txPr>
        <c:crossAx val="56920488"/>
        <c:crosses val="autoZero"/>
        <c:crossBetween val="midCat"/>
      </c:valAx>
      <c:valAx>
        <c:axId val="56920488"/>
        <c:scaling>
          <c:orientation val="minMax"/>
        </c:scaling>
        <c:delete val="0"/>
        <c:axPos val="l"/>
        <c:title>
          <c:tx>
            <c:rich>
              <a:bodyPr rot="-5400000"/>
              <a:lstStyle/>
              <a:p>
                <a:pPr>
                  <a:defRPr b="1" lang="es-ES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lang="es-ES" sz="1000" spc="-1" strike="noStrike">
                    <a:solidFill>
                      <a:srgbClr val="000000"/>
                    </a:solidFill>
                    <a:latin typeface="Calibri"/>
                  </a:rPr>
                  <a:t>Log (N)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84637734"/>
        <c:crosses val="autoZero"/>
        <c:crossBetween val="midCat"/>
      </c:valAx>
      <c:spPr>
        <a:noFill/>
        <a:ln w="25560">
          <a:noFill/>
        </a:ln>
      </c:spPr>
    </c:plotArea>
    <c:legend>
      <c:legendPos val="r"/>
      <c:layout>
        <c:manualLayout>
          <c:xMode val="edge"/>
          <c:yMode val="edge"/>
          <c:x val="0.777159796201945"/>
          <c:y val="0.257352950403112"/>
          <c:w val="0.20401667438629"/>
          <c:h val="0.485161506206147"/>
        </c:manualLayout>
      </c:layout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lang="es-ES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lang="es-ES" sz="1800" spc="-1" strike="noStrike">
                <a:solidFill>
                  <a:srgbClr val="000000"/>
                </a:solidFill>
                <a:latin typeface="Calibri"/>
              </a:rPr>
              <a:t>Aerobic without delay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63036136440392"/>
          <c:y val="0.215292920482628"/>
          <c:w val="0.612293144208038"/>
          <c:h val="0.556912341910161"/>
        </c:manualLayout>
      </c:layout>
      <c:scatterChart>
        <c:scatterStyle val="lineMarker"/>
        <c:varyColors val="0"/>
        <c:ser>
          <c:idx val="0"/>
          <c:order val="0"/>
          <c:tx>
            <c:strRef>
              <c:f>"25ºC obtained values"</c:f>
              <c:strCache>
                <c:ptCount val="1"/>
                <c:pt idx="0">
                  <c:v>25ºC obtained values</c:v>
                </c:pt>
              </c:strCache>
            </c:strRef>
          </c:tx>
          <c:spPr>
            <a:solidFill>
              <a:srgbClr val="ff0000"/>
            </a:solidFill>
            <a:ln w="28440">
              <a:noFill/>
            </a:ln>
          </c:spPr>
          <c:marker>
            <c:symbol val="circle"/>
            <c:size val="5"/>
            <c:spPr>
              <a:solidFill>
                <a:srgbClr val="ff0000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'R9_23Kco_GR_log '!$N$21:$N$35</c:f>
              <c:numCache>
                <c:formatCode>General</c:formatCode>
                <c:ptCount val="15"/>
                <c:pt idx="0">
                  <c:v>1</c:v>
                </c:pt>
                <c:pt idx="1">
                  <c:v>3</c:v>
                </c:pt>
                <c:pt idx="2">
                  <c:v>6</c:v>
                </c:pt>
                <c:pt idx="3">
                  <c:v>9</c:v>
                </c:pt>
                <c:pt idx="4">
                  <c:v>12.17</c:v>
                </c:pt>
                <c:pt idx="5">
                  <c:v>24.17</c:v>
                </c:pt>
                <c:pt idx="6">
                  <c:v>27.08</c:v>
                </c:pt>
                <c:pt idx="7">
                  <c:v>30.08</c:v>
                </c:pt>
                <c:pt idx="8">
                  <c:v>33.08</c:v>
                </c:pt>
                <c:pt idx="9">
                  <c:v>35.83</c:v>
                </c:pt>
                <c:pt idx="10">
                  <c:v>48.25</c:v>
                </c:pt>
                <c:pt idx="11">
                  <c:v>54.08</c:v>
                </c:pt>
              </c:numCache>
            </c:numRef>
          </c:xVal>
          <c:yVal>
            <c:numRef>
              <c:f>'R9_23Kco_GR_log '!$O$21:$O$34</c:f>
              <c:numCache>
                <c:formatCode>General</c:formatCode>
                <c:ptCount val="14"/>
                <c:pt idx="0">
                  <c:v>5.31</c:v>
                </c:pt>
                <c:pt idx="1">
                  <c:v>5.66</c:v>
                </c:pt>
                <c:pt idx="2">
                  <c:v>6.14</c:v>
                </c:pt>
                <c:pt idx="3">
                  <c:v>6.57</c:v>
                </c:pt>
                <c:pt idx="4">
                  <c:v>7.08</c:v>
                </c:pt>
                <c:pt idx="5">
                  <c:v>8.3</c:v>
                </c:pt>
                <c:pt idx="6">
                  <c:v>8.29</c:v>
                </c:pt>
                <c:pt idx="7">
                  <c:v>8.38</c:v>
                </c:pt>
                <c:pt idx="8">
                  <c:v>8.3</c:v>
                </c:pt>
                <c:pt idx="9">
                  <c:v>8.27</c:v>
                </c:pt>
                <c:pt idx="10">
                  <c:v>8.19</c:v>
                </c:pt>
                <c:pt idx="11">
                  <c:v>8.27</c:v>
                </c:pt>
              </c:numCache>
            </c:numRef>
          </c:yVal>
          <c:smooth val="0"/>
        </c:ser>
        <c:ser>
          <c:idx val="1"/>
          <c:order val="1"/>
          <c:spPr>
            <a:solidFill>
              <a:srgbClr val="ff0000"/>
            </a:solidFill>
            <a:ln w="28440">
              <a:solidFill>
                <a:srgbClr val="ff0000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'R9_23Kco_GR_log '!$N$21:$N$32</c:f>
              <c:numCache>
                <c:formatCode>General</c:formatCode>
                <c:ptCount val="12"/>
                <c:pt idx="0">
                  <c:v>1</c:v>
                </c:pt>
                <c:pt idx="1">
                  <c:v>3</c:v>
                </c:pt>
                <c:pt idx="2">
                  <c:v>6</c:v>
                </c:pt>
                <c:pt idx="3">
                  <c:v>9</c:v>
                </c:pt>
                <c:pt idx="4">
                  <c:v>12.17</c:v>
                </c:pt>
                <c:pt idx="5">
                  <c:v>24.17</c:v>
                </c:pt>
                <c:pt idx="6">
                  <c:v>27.08</c:v>
                </c:pt>
                <c:pt idx="7">
                  <c:v>30.08</c:v>
                </c:pt>
                <c:pt idx="8">
                  <c:v>33.08</c:v>
                </c:pt>
                <c:pt idx="9">
                  <c:v>35.83</c:v>
                </c:pt>
                <c:pt idx="10">
                  <c:v>48.25</c:v>
                </c:pt>
                <c:pt idx="11">
                  <c:v>54.08</c:v>
                </c:pt>
              </c:numCache>
            </c:numRef>
          </c:xVal>
          <c:yVal>
            <c:numRef>
              <c:f>'R9_23Kco_GR_log '!$Q$21:$Q$32</c:f>
              <c:numCache>
                <c:formatCode>General</c:formatCode>
                <c:ptCount val="12"/>
                <c:pt idx="0">
                  <c:v>5.31429481290229</c:v>
                </c:pt>
                <c:pt idx="1">
                  <c:v>5.63795533393594</c:v>
                </c:pt>
                <c:pt idx="2">
                  <c:v>6.12224130110993</c:v>
                </c:pt>
                <c:pt idx="3">
                  <c:v>6.60254933599641</c:v>
                </c:pt>
                <c:pt idx="4">
                  <c:v>7.09697650977463</c:v>
                </c:pt>
                <c:pt idx="5">
                  <c:v>8.23062368388292</c:v>
                </c:pt>
                <c:pt idx="6">
                  <c:v>8.27438768646205</c:v>
                </c:pt>
                <c:pt idx="7">
                  <c:v>8.29048686473185</c:v>
                </c:pt>
                <c:pt idx="8">
                  <c:v>8.29587364116927</c:v>
                </c:pt>
                <c:pt idx="9">
                  <c:v>8.29756231418815</c:v>
                </c:pt>
                <c:pt idx="10">
                  <c:v>8.29849899160495</c:v>
                </c:pt>
                <c:pt idx="11">
                  <c:v>8.29850713740187</c:v>
                </c:pt>
              </c:numCache>
            </c:numRef>
          </c:yVal>
          <c:smooth val="0"/>
        </c:ser>
        <c:axId val="69409582"/>
        <c:axId val="29948454"/>
      </c:scatterChart>
      <c:valAx>
        <c:axId val="69409582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lang="es-ES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lang="es-ES" sz="1000" spc="-1" strike="noStrike">
                    <a:solidFill>
                      <a:srgbClr val="000000"/>
                    </a:solidFill>
                    <a:latin typeface="Calibri"/>
                  </a:rPr>
                  <a:t>Time (d)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" sourceLinked="0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333333"/>
                </a:solidFill>
                <a:latin typeface="Calibri"/>
                <a:ea typeface="Calibri"/>
              </a:defRPr>
            </a:pPr>
          </a:p>
        </c:txPr>
        <c:crossAx val="29948454"/>
        <c:crosses val="autoZero"/>
        <c:crossBetween val="midCat"/>
      </c:valAx>
      <c:valAx>
        <c:axId val="29948454"/>
        <c:scaling>
          <c:orientation val="minMax"/>
        </c:scaling>
        <c:delete val="0"/>
        <c:axPos val="l"/>
        <c:title>
          <c:tx>
            <c:rich>
              <a:bodyPr rot="-5400000"/>
              <a:lstStyle/>
              <a:p>
                <a:pPr>
                  <a:defRPr b="1" lang="es-ES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lang="es-ES" sz="1000" spc="-1" strike="noStrike">
                    <a:solidFill>
                      <a:srgbClr val="000000"/>
                    </a:solidFill>
                    <a:latin typeface="Calibri"/>
                  </a:rPr>
                  <a:t>Log (N)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69409582"/>
        <c:crosses val="autoZero"/>
        <c:crossBetween val="midCat"/>
      </c:valAx>
      <c:spPr>
        <a:noFill/>
        <a:ln w="25560">
          <a:noFill/>
        </a:ln>
      </c:spPr>
    </c:plotArea>
    <c:legend>
      <c:legendPos val="r"/>
      <c:layout>
        <c:manualLayout>
          <c:xMode val="edge"/>
          <c:yMode val="edge"/>
          <c:x val="0.777159796201945"/>
          <c:y val="0.209341813042601"/>
          <c:w val="0.20401667438629"/>
          <c:h val="0.642726428427216"/>
        </c:manualLayout>
      </c:layout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lang="es-ES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lang="es-ES" sz="1800" spc="-1" strike="noStrike">
                <a:solidFill>
                  <a:srgbClr val="000000"/>
                </a:solidFill>
                <a:latin typeface="Calibri"/>
              </a:rPr>
              <a:t>Aerobic with delay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61797752808989"/>
          <c:y val="0.223013048635824"/>
          <c:w val="0.602247191011236"/>
          <c:h val="0.541094729706829"/>
        </c:manualLayout>
      </c:layout>
      <c:scatterChart>
        <c:scatterStyle val="lineMarker"/>
        <c:varyColors val="0"/>
        <c:ser>
          <c:idx val="0"/>
          <c:order val="0"/>
          <c:spPr>
            <a:solidFill>
              <a:srgbClr val="4472c4"/>
            </a:solidFill>
            <a:ln w="19080">
              <a:solidFill>
                <a:srgbClr val="4472c4"/>
              </a:solidFill>
              <a:round/>
            </a:ln>
          </c:spPr>
          <c:marker>
            <c:symbol val="circle"/>
            <c:size val="5"/>
            <c:spPr>
              <a:solidFill>
                <a:srgbClr val="4472c4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[1]LA_prod!$B$21:$B$32</c:f>
              <c:numCache>
                <c:formatCode>General</c:formatCode>
                <c:ptCount val="12"/>
                <c:pt idx="0">
                  <c:v>1</c:v>
                </c:pt>
                <c:pt idx="1">
                  <c:v>3.25</c:v>
                </c:pt>
                <c:pt idx="2">
                  <c:v>6.00000000005821</c:v>
                </c:pt>
                <c:pt idx="3">
                  <c:v>9.00000000005821</c:v>
                </c:pt>
                <c:pt idx="4">
                  <c:v>12.0000000000582</c:v>
                </c:pt>
                <c:pt idx="5">
                  <c:v>24.4166666666861</c:v>
                </c:pt>
                <c:pt idx="6">
                  <c:v>27.25</c:v>
                </c:pt>
                <c:pt idx="7">
                  <c:v>30.0000000000582</c:v>
                </c:pt>
                <c:pt idx="8">
                  <c:v>33.0000000000582</c:v>
                </c:pt>
                <c:pt idx="9">
                  <c:v>35.8333333333721</c:v>
                </c:pt>
                <c:pt idx="10">
                  <c:v>48.5000000001164</c:v>
                </c:pt>
                <c:pt idx="11">
                  <c:v>54.0000000000582</c:v>
                </c:pt>
              </c:numCache>
            </c:numRef>
          </c:xVal>
          <c:yVal>
            <c:numRef>
              <c:f>[1]LA_prod!$C$21:$C$32</c:f>
              <c:numCache>
                <c:formatCode>General</c:formatCode>
                <c:ptCount val="12"/>
                <c:pt idx="0">
                  <c:v>5.12710479836481</c:v>
                </c:pt>
                <c:pt idx="1">
                  <c:v>5.62940959910272</c:v>
                </c:pt>
                <c:pt idx="2">
                  <c:v>5.95424250943933</c:v>
                </c:pt>
                <c:pt idx="3">
                  <c:v>6.52374646681157</c:v>
                </c:pt>
                <c:pt idx="4">
                  <c:v>6.88081359228079</c:v>
                </c:pt>
                <c:pt idx="5">
                  <c:v>8.11394335230684</c:v>
                </c:pt>
                <c:pt idx="6">
                  <c:v>7.57978359661681</c:v>
                </c:pt>
                <c:pt idx="7">
                  <c:v>8.09342168516224</c:v>
                </c:pt>
                <c:pt idx="8">
                  <c:v>8.09342168516224</c:v>
                </c:pt>
                <c:pt idx="9">
                  <c:v>8.10037054511756</c:v>
                </c:pt>
                <c:pt idx="10">
                  <c:v>8.17026171539496</c:v>
                </c:pt>
                <c:pt idx="11">
                  <c:v>8.2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"25ºC predicted values"</c:f>
              <c:strCache>
                <c:ptCount val="1"/>
                <c:pt idx="0">
                  <c:v>25ºC predicted values</c:v>
                </c:pt>
              </c:strCache>
            </c:strRef>
          </c:tx>
          <c:spPr>
            <a:solidFill>
              <a:srgbClr val="ed7d31"/>
            </a:solidFill>
            <a:ln w="19080">
              <a:solidFill>
                <a:srgbClr val="ed7d31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[1]LA_prod!$B$21:$B$36</c:f>
              <c:numCache>
                <c:formatCode>General</c:formatCode>
                <c:ptCount val="16"/>
                <c:pt idx="0">
                  <c:v>1</c:v>
                </c:pt>
                <c:pt idx="1">
                  <c:v>3.25</c:v>
                </c:pt>
                <c:pt idx="2">
                  <c:v>6.00000000005821</c:v>
                </c:pt>
                <c:pt idx="3">
                  <c:v>9.00000000005821</c:v>
                </c:pt>
                <c:pt idx="4">
                  <c:v>12.0000000000582</c:v>
                </c:pt>
                <c:pt idx="5">
                  <c:v>24.4166666666861</c:v>
                </c:pt>
                <c:pt idx="6">
                  <c:v>27.25</c:v>
                </c:pt>
                <c:pt idx="7">
                  <c:v>30.0000000000582</c:v>
                </c:pt>
                <c:pt idx="8">
                  <c:v>33.0000000000582</c:v>
                </c:pt>
                <c:pt idx="9">
                  <c:v>35.8333333333721</c:v>
                </c:pt>
                <c:pt idx="10">
                  <c:v>48.5000000001164</c:v>
                </c:pt>
                <c:pt idx="11">
                  <c:v>54.0000000000582</c:v>
                </c:pt>
              </c:numCache>
            </c:numRef>
          </c:xVal>
          <c:yVal>
            <c:numRef>
              <c:f>[1]LA_prod!$E$21:$E$36</c:f>
              <c:numCache>
                <c:formatCode>General</c:formatCode>
                <c:ptCount val="16"/>
                <c:pt idx="0">
                  <c:v>5.20027140890088</c:v>
                </c:pt>
                <c:pt idx="1">
                  <c:v>5.55533924725384</c:v>
                </c:pt>
                <c:pt idx="2">
                  <c:v>5.98792141344128</c:v>
                </c:pt>
                <c:pt idx="3">
                  <c:v>6.45519319125769</c:v>
                </c:pt>
                <c:pt idx="4">
                  <c:v>6.90896041887478</c:v>
                </c:pt>
                <c:pt idx="5">
                  <c:v>8.00576856091372</c:v>
                </c:pt>
                <c:pt idx="6">
                  <c:v>8.04261812058602</c:v>
                </c:pt>
                <c:pt idx="7">
                  <c:v>8.05630386861232</c:v>
                </c:pt>
                <c:pt idx="8">
                  <c:v>8.06170323478475</c:v>
                </c:pt>
                <c:pt idx="9">
                  <c:v>8.06347157820444</c:v>
                </c:pt>
                <c:pt idx="10">
                  <c:v>8.06444413088548</c:v>
                </c:pt>
                <c:pt idx="11">
                  <c:v>8.0644525765368</c:v>
                </c:pt>
              </c:numCache>
            </c:numRef>
          </c:yVal>
          <c:smooth val="0"/>
        </c:ser>
        <c:axId val="13833045"/>
        <c:axId val="43958548"/>
      </c:scatterChart>
      <c:scatterChart>
        <c:scatterStyle val="lineMarker"/>
        <c:varyColors val="0"/>
        <c:ser>
          <c:idx val="2"/>
          <c:order val="2"/>
          <c:tx>
            <c:strRef>
              <c:f>"LA"</c:f>
              <c:strCache>
                <c:ptCount val="1"/>
                <c:pt idx="0">
                  <c:v>LA</c:v>
                </c:pt>
              </c:strCache>
            </c:strRef>
          </c:tx>
          <c:spPr>
            <a:solidFill>
              <a:srgbClr val="99ccff"/>
            </a:solidFill>
            <a:ln w="19080">
              <a:noFill/>
            </a:ln>
          </c:spP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[1]LA_prod!$B$21:$B$32</c:f>
              <c:numCache>
                <c:formatCode>General</c:formatCode>
                <c:ptCount val="12"/>
                <c:pt idx="0">
                  <c:v>1</c:v>
                </c:pt>
                <c:pt idx="1">
                  <c:v>3.25</c:v>
                </c:pt>
                <c:pt idx="2">
                  <c:v>6.00000000005821</c:v>
                </c:pt>
                <c:pt idx="3">
                  <c:v>9.00000000005821</c:v>
                </c:pt>
                <c:pt idx="4">
                  <c:v>12.0000000000582</c:v>
                </c:pt>
                <c:pt idx="5">
                  <c:v>24.4166666666861</c:v>
                </c:pt>
                <c:pt idx="6">
                  <c:v>27.25</c:v>
                </c:pt>
                <c:pt idx="7">
                  <c:v>30.0000000000582</c:v>
                </c:pt>
                <c:pt idx="8">
                  <c:v>33.0000000000582</c:v>
                </c:pt>
                <c:pt idx="9">
                  <c:v>35.8333333333721</c:v>
                </c:pt>
                <c:pt idx="10">
                  <c:v>48.5000000001164</c:v>
                </c:pt>
                <c:pt idx="11">
                  <c:v>54.0000000000582</c:v>
                </c:pt>
              </c:numCache>
            </c:numRef>
          </c:xVal>
          <c:yVal>
            <c:numRef>
              <c:f>R9_23Kco_LA_prod!$Q$21:$Q$32</c:f>
              <c:numCache>
                <c:formatCode>General</c:formatCode>
                <c:ptCount val="12"/>
                <c:pt idx="0">
                  <c:v>-0.098119293</c:v>
                </c:pt>
                <c:pt idx="1">
                  <c:v>0.022016644</c:v>
                </c:pt>
                <c:pt idx="2">
                  <c:v>0.006999652</c:v>
                </c:pt>
                <c:pt idx="3">
                  <c:v>0.06706762</c:v>
                </c:pt>
                <c:pt idx="4">
                  <c:v>-0.02678858</c:v>
                </c:pt>
                <c:pt idx="5">
                  <c:v>1.354774695</c:v>
                </c:pt>
                <c:pt idx="6">
                  <c:v>2.098115805</c:v>
                </c:pt>
                <c:pt idx="7">
                  <c:v>3.250669951</c:v>
                </c:pt>
                <c:pt idx="8">
                  <c:v>3.044186309</c:v>
                </c:pt>
                <c:pt idx="9">
                  <c:v>3.415856865</c:v>
                </c:pt>
                <c:pt idx="10">
                  <c:v>4.391961353</c:v>
                </c:pt>
                <c:pt idx="11">
                  <c:v>4.223020191</c:v>
                </c:pt>
              </c:numCache>
            </c:numRef>
          </c:yVal>
          <c:smooth val="0"/>
        </c:ser>
        <c:ser>
          <c:idx val="3"/>
          <c:order val="3"/>
          <c:tx>
            <c:strRef>
              <c:f>"LA pred"</c:f>
              <c:strCache>
                <c:ptCount val="1"/>
                <c:pt idx="0">
                  <c:v>LA pred</c:v>
                </c:pt>
              </c:strCache>
            </c:strRef>
          </c:tx>
          <c:spPr>
            <a:solidFill>
              <a:srgbClr val="99ccff"/>
            </a:solidFill>
            <a:ln w="19080">
              <a:noFill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[1]LA_prod!$B$21:$B$32</c:f>
              <c:numCache>
                <c:formatCode>General</c:formatCode>
                <c:ptCount val="12"/>
                <c:pt idx="0">
                  <c:v>1</c:v>
                </c:pt>
                <c:pt idx="1">
                  <c:v>3.25</c:v>
                </c:pt>
                <c:pt idx="2">
                  <c:v>6.00000000005821</c:v>
                </c:pt>
                <c:pt idx="3">
                  <c:v>9.00000000005821</c:v>
                </c:pt>
                <c:pt idx="4">
                  <c:v>12.0000000000582</c:v>
                </c:pt>
                <c:pt idx="5">
                  <c:v>24.4166666666861</c:v>
                </c:pt>
                <c:pt idx="6">
                  <c:v>27.25</c:v>
                </c:pt>
                <c:pt idx="7">
                  <c:v>30.0000000000582</c:v>
                </c:pt>
                <c:pt idx="8">
                  <c:v>33.0000000000582</c:v>
                </c:pt>
                <c:pt idx="9">
                  <c:v>35.8333333333721</c:v>
                </c:pt>
                <c:pt idx="10">
                  <c:v>48.5000000001164</c:v>
                </c:pt>
                <c:pt idx="11">
                  <c:v>54.0000000000582</c:v>
                </c:pt>
              </c:numCache>
            </c:numRef>
          </c:xVal>
          <c:yVal>
            <c:numRef>
              <c:f>[1]LA_prod!$G$21:$G$32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1.60968058417157</c:v>
                </c:pt>
                <c:pt idx="6">
                  <c:v>2.22671660021111</c:v>
                </c:pt>
                <c:pt idx="7">
                  <c:v>2.79431303244187</c:v>
                </c:pt>
                <c:pt idx="8">
                  <c:v>3.33241486569026</c:v>
                </c:pt>
                <c:pt idx="9">
                  <c:v>3.7033260899816</c:v>
                </c:pt>
                <c:pt idx="10">
                  <c:v>4.07401797941659</c:v>
                </c:pt>
                <c:pt idx="11">
                  <c:v>4.07844017513263</c:v>
                </c:pt>
              </c:numCache>
            </c:numRef>
          </c:yVal>
          <c:smooth val="0"/>
        </c:ser>
        <c:axId val="14171142"/>
        <c:axId val="22332273"/>
      </c:scatterChart>
      <c:valAx>
        <c:axId val="13833045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lang="es-ES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lang="es-ES" sz="1000" spc="-1" strike="noStrike">
                    <a:solidFill>
                      <a:srgbClr val="000000"/>
                    </a:solidFill>
                    <a:latin typeface="Calibri"/>
                  </a:rPr>
                  <a:t>Time (d)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" sourceLinked="0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333333"/>
                </a:solidFill>
                <a:latin typeface="Calibri"/>
                <a:ea typeface="Calibri"/>
              </a:defRPr>
            </a:pPr>
          </a:p>
        </c:txPr>
        <c:crossAx val="43958548"/>
        <c:crosses val="autoZero"/>
        <c:crossBetween val="midCat"/>
      </c:valAx>
      <c:valAx>
        <c:axId val="43958548"/>
        <c:scaling>
          <c:orientation val="minMax"/>
        </c:scaling>
        <c:delete val="0"/>
        <c:axPos val="l"/>
        <c:title>
          <c:tx>
            <c:rich>
              <a:bodyPr rot="-5400000"/>
              <a:lstStyle/>
              <a:p>
                <a:pPr>
                  <a:defRPr b="1" lang="es-ES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lang="es-ES" sz="1000" spc="-1" strike="noStrike">
                    <a:solidFill>
                      <a:srgbClr val="000000"/>
                    </a:solidFill>
                    <a:latin typeface="Calibri"/>
                  </a:rPr>
                  <a:t>Log (N)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13833045"/>
        <c:crosses val="autoZero"/>
        <c:crossBetween val="midCat"/>
      </c:valAx>
      <c:valAx>
        <c:axId val="14171142"/>
        <c:scaling>
          <c:orientation val="minMax"/>
        </c:scaling>
        <c:delete val="1"/>
        <c:axPos val="t"/>
        <c:numFmt formatCode="General" sourceLinked="1"/>
        <c:majorTickMark val="out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2332273"/>
        <c:crossBetween val="midCat"/>
      </c:valAx>
      <c:valAx>
        <c:axId val="22332273"/>
        <c:scaling>
          <c:orientation val="minMax"/>
        </c:scaling>
        <c:delete val="0"/>
        <c:axPos val="r"/>
        <c:numFmt formatCode="General" sourceLinked="0"/>
        <c:majorTickMark val="out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4171142"/>
        <c:crosses val="max"/>
        <c:crossBetween val="midCat"/>
      </c:valAx>
      <c:spPr>
        <a:noFill/>
        <a:ln w="25560">
          <a:noFill/>
        </a:ln>
      </c:spPr>
    </c:plotArea>
    <c:legend>
      <c:legendPos val="r"/>
      <c:layout>
        <c:manualLayout>
          <c:xMode val="edge"/>
          <c:yMode val="edge"/>
          <c:x val="0.777159796201945"/>
          <c:y val="0.257352950403112"/>
          <c:w val="0.222840203798055"/>
          <c:h val="0.665361494825554"/>
        </c:manualLayout>
      </c:layout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lang="es-ES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lang="es-ES" sz="1800" spc="-1" strike="noStrike">
                <a:solidFill>
                  <a:srgbClr val="000000"/>
                </a:solidFill>
                <a:latin typeface="Calibri"/>
              </a:rPr>
              <a:t>Aerobic without delay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63036136440392"/>
          <c:y val="0.215172786177106"/>
          <c:w val="0.612293144208038"/>
          <c:h val="0.488390928725702"/>
        </c:manualLayout>
      </c:layout>
      <c:scatterChart>
        <c:scatterStyle val="lineMarker"/>
        <c:varyColors val="0"/>
        <c:ser>
          <c:idx val="0"/>
          <c:order val="0"/>
          <c:tx>
            <c:strRef>
              <c:f>"LAB obtained values"</c:f>
              <c:strCache>
                <c:ptCount val="1"/>
                <c:pt idx="0">
                  <c:v>LAB obtained values</c:v>
                </c:pt>
              </c:strCache>
            </c:strRef>
          </c:tx>
          <c:spPr>
            <a:solidFill>
              <a:srgbClr val="ff0000"/>
            </a:solidFill>
            <a:ln w="28440">
              <a:noFill/>
            </a:ln>
          </c:spPr>
          <c:marker>
            <c:symbol val="circle"/>
            <c:size val="5"/>
            <c:spPr>
              <a:solidFill>
                <a:srgbClr val="ff0000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R9_23Kco_LA_prod!$M$21:$M$36</c:f>
              <c:numCache>
                <c:formatCode>General</c:formatCode>
                <c:ptCount val="16"/>
                <c:pt idx="0">
                  <c:v>1</c:v>
                </c:pt>
                <c:pt idx="1">
                  <c:v>3.25</c:v>
                </c:pt>
                <c:pt idx="2">
                  <c:v>6</c:v>
                </c:pt>
                <c:pt idx="3">
                  <c:v>9</c:v>
                </c:pt>
                <c:pt idx="4">
                  <c:v>12</c:v>
                </c:pt>
                <c:pt idx="5">
                  <c:v>24.42</c:v>
                </c:pt>
                <c:pt idx="6">
                  <c:v>27.25</c:v>
                </c:pt>
                <c:pt idx="7">
                  <c:v>30</c:v>
                </c:pt>
                <c:pt idx="8">
                  <c:v>33</c:v>
                </c:pt>
                <c:pt idx="9">
                  <c:v>35.83</c:v>
                </c:pt>
                <c:pt idx="10">
                  <c:v>48.5</c:v>
                </c:pt>
                <c:pt idx="11">
                  <c:v>54</c:v>
                </c:pt>
              </c:numCache>
            </c:numRef>
          </c:xVal>
          <c:yVal>
            <c:numRef>
              <c:f>R9_23Kco_LA_prod!$N$21:$N$36</c:f>
              <c:numCache>
                <c:formatCode>General</c:formatCode>
                <c:ptCount val="16"/>
                <c:pt idx="0">
                  <c:v>5.31</c:v>
                </c:pt>
                <c:pt idx="1">
                  <c:v>5.66</c:v>
                </c:pt>
                <c:pt idx="2">
                  <c:v>6.14</c:v>
                </c:pt>
                <c:pt idx="3">
                  <c:v>6.57</c:v>
                </c:pt>
                <c:pt idx="4">
                  <c:v>7.08</c:v>
                </c:pt>
                <c:pt idx="5">
                  <c:v>8.3</c:v>
                </c:pt>
                <c:pt idx="6">
                  <c:v>8.29</c:v>
                </c:pt>
                <c:pt idx="7">
                  <c:v>8.38</c:v>
                </c:pt>
                <c:pt idx="8">
                  <c:v>8.3</c:v>
                </c:pt>
                <c:pt idx="9">
                  <c:v>8.27</c:v>
                </c:pt>
                <c:pt idx="10">
                  <c:v>8.19</c:v>
                </c:pt>
                <c:pt idx="11">
                  <c:v>8.27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"LAB predicted values"</c:f>
              <c:strCache>
                <c:ptCount val="1"/>
                <c:pt idx="0">
                  <c:v>LAB predicted values</c:v>
                </c:pt>
              </c:strCache>
            </c:strRef>
          </c:tx>
          <c:spPr>
            <a:solidFill>
              <a:srgbClr val="ff0000"/>
            </a:solidFill>
            <a:ln w="28440">
              <a:solidFill>
                <a:srgbClr val="ff0000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R9_23Kco_LA_prod!$M$21:$M$36</c:f>
              <c:numCache>
                <c:formatCode>General</c:formatCode>
                <c:ptCount val="16"/>
                <c:pt idx="0">
                  <c:v>1</c:v>
                </c:pt>
                <c:pt idx="1">
                  <c:v>3.25</c:v>
                </c:pt>
                <c:pt idx="2">
                  <c:v>6</c:v>
                </c:pt>
                <c:pt idx="3">
                  <c:v>9</c:v>
                </c:pt>
                <c:pt idx="4">
                  <c:v>12</c:v>
                </c:pt>
                <c:pt idx="5">
                  <c:v>24.42</c:v>
                </c:pt>
                <c:pt idx="6">
                  <c:v>27.25</c:v>
                </c:pt>
                <c:pt idx="7">
                  <c:v>30</c:v>
                </c:pt>
                <c:pt idx="8">
                  <c:v>33</c:v>
                </c:pt>
                <c:pt idx="9">
                  <c:v>35.83</c:v>
                </c:pt>
                <c:pt idx="10">
                  <c:v>48.5</c:v>
                </c:pt>
                <c:pt idx="11">
                  <c:v>54</c:v>
                </c:pt>
              </c:numCache>
            </c:numRef>
          </c:xVal>
          <c:yVal>
            <c:numRef>
              <c:f>R9_23Kco_LA_prod!$P$21:$P$36</c:f>
              <c:numCache>
                <c:formatCode>General</c:formatCode>
                <c:ptCount val="16"/>
                <c:pt idx="0">
                  <c:v>5.31429481290229</c:v>
                </c:pt>
                <c:pt idx="1">
                  <c:v>5.67838253161001</c:v>
                </c:pt>
                <c:pt idx="2">
                  <c:v>6.12224130110993</c:v>
                </c:pt>
                <c:pt idx="3">
                  <c:v>6.60254933599641</c:v>
                </c:pt>
                <c:pt idx="4">
                  <c:v>7.07110475442557</c:v>
                </c:pt>
                <c:pt idx="5">
                  <c:v>8.23625833655454</c:v>
                </c:pt>
                <c:pt idx="6">
                  <c:v>8.27583244031749</c:v>
                </c:pt>
                <c:pt idx="7">
                  <c:v>8.29024606555745</c:v>
                </c:pt>
                <c:pt idx="8">
                  <c:v>8.29579404676066</c:v>
                </c:pt>
                <c:pt idx="9">
                  <c:v>8.29756231418815</c:v>
                </c:pt>
                <c:pt idx="10">
                  <c:v>8.29849981015201</c:v>
                </c:pt>
                <c:pt idx="11">
                  <c:v>8.29850710578804</c:v>
                </c:pt>
              </c:numCache>
            </c:numRef>
          </c:yVal>
          <c:smooth val="0"/>
        </c:ser>
        <c:axId val="32866191"/>
        <c:axId val="65403026"/>
      </c:scatterChart>
      <c:scatterChart>
        <c:scatterStyle val="lineMarker"/>
        <c:varyColors val="0"/>
        <c:ser>
          <c:idx val="2"/>
          <c:order val="2"/>
          <c:tx>
            <c:strRef>
              <c:f>"Lactic Acid obtained values"</c:f>
              <c:strCache>
                <c:ptCount val="1"/>
                <c:pt idx="0">
                  <c:v>Lactic Acid obtained values</c:v>
                </c:pt>
              </c:strCache>
            </c:strRef>
          </c:tx>
          <c:spPr>
            <a:solidFill>
              <a:srgbClr val="99ccff"/>
            </a:solidFill>
            <a:ln w="19080">
              <a:noFill/>
            </a:ln>
          </c:spP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R9_23Kco_LA_prod!$M$21:$M$32</c:f>
              <c:numCache>
                <c:formatCode>General</c:formatCode>
                <c:ptCount val="12"/>
                <c:pt idx="0">
                  <c:v>1</c:v>
                </c:pt>
                <c:pt idx="1">
                  <c:v>3.25</c:v>
                </c:pt>
                <c:pt idx="2">
                  <c:v>6</c:v>
                </c:pt>
                <c:pt idx="3">
                  <c:v>9</c:v>
                </c:pt>
                <c:pt idx="4">
                  <c:v>12</c:v>
                </c:pt>
                <c:pt idx="5">
                  <c:v>24.42</c:v>
                </c:pt>
                <c:pt idx="6">
                  <c:v>27.25</c:v>
                </c:pt>
                <c:pt idx="7">
                  <c:v>30</c:v>
                </c:pt>
                <c:pt idx="8">
                  <c:v>33</c:v>
                </c:pt>
                <c:pt idx="9">
                  <c:v>35.83</c:v>
                </c:pt>
                <c:pt idx="10">
                  <c:v>48.5</c:v>
                </c:pt>
                <c:pt idx="11">
                  <c:v>54</c:v>
                </c:pt>
              </c:numCache>
            </c:numRef>
          </c:xVal>
          <c:yVal>
            <c:numRef>
              <c:f>R9_23Kco_LA_prod!$Q$21:$Q$32</c:f>
              <c:numCache>
                <c:formatCode>General</c:formatCode>
                <c:ptCount val="12"/>
                <c:pt idx="0">
                  <c:v>-0.098119293</c:v>
                </c:pt>
                <c:pt idx="1">
                  <c:v>0.022016644</c:v>
                </c:pt>
                <c:pt idx="2">
                  <c:v>0.006999652</c:v>
                </c:pt>
                <c:pt idx="3">
                  <c:v>0.06706762</c:v>
                </c:pt>
                <c:pt idx="4">
                  <c:v>-0.02678858</c:v>
                </c:pt>
                <c:pt idx="5">
                  <c:v>1.354774695</c:v>
                </c:pt>
                <c:pt idx="6">
                  <c:v>2.098115805</c:v>
                </c:pt>
                <c:pt idx="7">
                  <c:v>3.250669951</c:v>
                </c:pt>
                <c:pt idx="8">
                  <c:v>3.044186309</c:v>
                </c:pt>
                <c:pt idx="9">
                  <c:v>3.415856865</c:v>
                </c:pt>
                <c:pt idx="10">
                  <c:v>4.391961353</c:v>
                </c:pt>
                <c:pt idx="11">
                  <c:v>4.223020191</c:v>
                </c:pt>
              </c:numCache>
            </c:numRef>
          </c:yVal>
          <c:smooth val="0"/>
        </c:ser>
        <c:ser>
          <c:idx val="3"/>
          <c:order val="3"/>
          <c:tx>
            <c:strRef>
              <c:f>"Lactic Acid predicted values"</c:f>
              <c:strCache>
                <c:ptCount val="1"/>
                <c:pt idx="0">
                  <c:v>Lactic Acid predicted values</c:v>
                </c:pt>
              </c:strCache>
            </c:strRef>
          </c:tx>
          <c:spPr>
            <a:solidFill>
              <a:srgbClr val="a5a5a5">
                <a:alpha val="75000"/>
              </a:srgbClr>
            </a:solidFill>
            <a:ln w="19080">
              <a:solidFill>
                <a:srgbClr val="a5a5a5">
                  <a:alpha val="75000"/>
                </a:srgbClr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R9_23Kco_LA_prod!$M$21:$M$32</c:f>
              <c:numCache>
                <c:formatCode>General</c:formatCode>
                <c:ptCount val="12"/>
                <c:pt idx="0">
                  <c:v>1</c:v>
                </c:pt>
                <c:pt idx="1">
                  <c:v>3.25</c:v>
                </c:pt>
                <c:pt idx="2">
                  <c:v>6</c:v>
                </c:pt>
                <c:pt idx="3">
                  <c:v>9</c:v>
                </c:pt>
                <c:pt idx="4">
                  <c:v>12</c:v>
                </c:pt>
                <c:pt idx="5">
                  <c:v>24.42</c:v>
                </c:pt>
                <c:pt idx="6">
                  <c:v>27.25</c:v>
                </c:pt>
                <c:pt idx="7">
                  <c:v>30</c:v>
                </c:pt>
                <c:pt idx="8">
                  <c:v>33</c:v>
                </c:pt>
                <c:pt idx="9">
                  <c:v>35.83</c:v>
                </c:pt>
                <c:pt idx="10">
                  <c:v>48.5</c:v>
                </c:pt>
                <c:pt idx="11">
                  <c:v>54</c:v>
                </c:pt>
              </c:numCache>
            </c:numRef>
          </c:xVal>
          <c:yVal>
            <c:numRef>
              <c:f>R9_23Kco_LA_prod!$R$21:$R$32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1.50684847637068</c:v>
                </c:pt>
                <c:pt idx="6">
                  <c:v>2.11554072226393</c:v>
                </c:pt>
                <c:pt idx="7">
                  <c:v>2.68984107046676</c:v>
                </c:pt>
                <c:pt idx="8">
                  <c:v>3.26642536616368</c:v>
                </c:pt>
                <c:pt idx="9">
                  <c:v>3.70811361227811</c:v>
                </c:pt>
                <c:pt idx="10">
                  <c:v>4.23717543058438</c:v>
                </c:pt>
                <c:pt idx="11">
                  <c:v>4.24389480008411</c:v>
                </c:pt>
              </c:numCache>
            </c:numRef>
          </c:yVal>
          <c:smooth val="0"/>
        </c:ser>
        <c:axId val="14944565"/>
        <c:axId val="48902030"/>
      </c:scatterChart>
      <c:valAx>
        <c:axId val="32866191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lang="es-ES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lang="es-ES" sz="1000" spc="-1" strike="noStrike">
                    <a:solidFill>
                      <a:srgbClr val="000000"/>
                    </a:solidFill>
                    <a:latin typeface="Calibri"/>
                  </a:rPr>
                  <a:t>Time (d)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" sourceLinked="0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333333"/>
                </a:solidFill>
                <a:latin typeface="Calibri"/>
                <a:ea typeface="Calibri"/>
              </a:defRPr>
            </a:pPr>
          </a:p>
        </c:txPr>
        <c:crossAx val="65403026"/>
        <c:crosses val="autoZero"/>
        <c:crossBetween val="midCat"/>
      </c:valAx>
      <c:valAx>
        <c:axId val="65403026"/>
        <c:scaling>
          <c:orientation val="minMax"/>
        </c:scaling>
        <c:delete val="0"/>
        <c:axPos val="l"/>
        <c:title>
          <c:tx>
            <c:rich>
              <a:bodyPr rot="-5400000"/>
              <a:lstStyle/>
              <a:p>
                <a:pPr>
                  <a:defRPr b="1" lang="es-ES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lang="es-ES" sz="1000" spc="-1" strike="noStrike">
                    <a:solidFill>
                      <a:srgbClr val="000000"/>
                    </a:solidFill>
                    <a:latin typeface="Calibri"/>
                  </a:rPr>
                  <a:t>LAB Log10 cfu/mL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32866191"/>
        <c:crosses val="autoZero"/>
        <c:crossBetween val="midCat"/>
      </c:valAx>
      <c:valAx>
        <c:axId val="14944565"/>
        <c:scaling>
          <c:orientation val="minMax"/>
        </c:scaling>
        <c:delete val="1"/>
        <c:axPos val="t"/>
        <c:numFmt formatCode="0.00" sourceLinked="1"/>
        <c:majorTickMark val="out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8902030"/>
        <c:crossBetween val="midCat"/>
      </c:valAx>
      <c:valAx>
        <c:axId val="48902030"/>
        <c:scaling>
          <c:orientation val="minMax"/>
        </c:scaling>
        <c:delete val="0"/>
        <c:axPos val="r"/>
        <c:title>
          <c:tx>
            <c:rich>
              <a:bodyPr rot="-5400000"/>
              <a:lstStyle/>
              <a:p>
                <a:pPr>
                  <a:defRPr b="1" lang="ca-ES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lang="ca-ES" sz="1000" spc="-1" strike="noStrike">
                    <a:solidFill>
                      <a:srgbClr val="000000"/>
                    </a:solidFill>
                    <a:latin typeface="Calibri"/>
                  </a:rPr>
                  <a:t>Lactic Acid (mg/mL)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" sourceLinked="0"/>
        <c:majorTickMark val="out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14944565"/>
        <c:crosses val="max"/>
        <c:crossBetween val="midCat"/>
        <c:majorUnit val="0.5"/>
      </c:valAx>
      <c:spPr>
        <a:noFill/>
        <a:ln w="25560">
          <a:noFill/>
        </a:ln>
      </c:spPr>
    </c:plotArea>
    <c:legend>
      <c:legendPos val="b"/>
      <c:layout>
        <c:manualLayout>
          <c:xMode val="edge"/>
          <c:yMode val="edge"/>
          <c:x val="0.0844131632034972"/>
          <c:y val="0.864383149754188"/>
          <c:w val="0.809787966365984"/>
          <c:h val="0.106205074187538"/>
        </c:manualLayout>
      </c:layout>
      <c:overlay val="0"/>
      <c:spPr>
        <a:noFill/>
        <a:ln w="0">
          <a:noFill/>
        </a:ln>
      </c:spPr>
      <c:txPr>
        <a:bodyPr/>
        <a:lstStyle/>
        <a:p>
          <a:pPr>
            <a:defRPr b="0" sz="9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3.xml"/><Relationship Id="rId2" Type="http://schemas.openxmlformats.org/officeDocument/2006/relationships/chart" Target="../charts/chart4.xml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5.xml"/><Relationship Id="rId2" Type="http://schemas.openxmlformats.org/officeDocument/2006/relationships/chart" Target="../charts/chart6.xml"/>
</Relationships>
</file>

<file path=xl/drawings/_rels/drawing4.xml.rels><?xml version="1.0" encoding="UTF-8"?>
<Relationships xmlns="http://schemas.openxmlformats.org/package/2006/relationships"><Relationship Id="rId1" Type="http://schemas.openxmlformats.org/officeDocument/2006/relationships/chart" Target="../charts/chart7.xml"/><Relationship Id="rId2" Type="http://schemas.openxmlformats.org/officeDocument/2006/relationships/chart" Target="../charts/chart8.xml"/>
</Relationships>
</file>

<file path=xl/drawings/_rels/drawing5.xml.rels><?xml version="1.0" encoding="UTF-8"?>
<Relationships xmlns="http://schemas.openxmlformats.org/package/2006/relationships"><Relationship Id="rId1" Type="http://schemas.openxmlformats.org/officeDocument/2006/relationships/chart" Target="../charts/chart9.xml"/><Relationship Id="rId2" Type="http://schemas.openxmlformats.org/officeDocument/2006/relationships/chart" Target="../charts/chart10.xml"/>
</Relationships>
</file>

<file path=xl/drawings/_rels/drawing6.xml.rels><?xml version="1.0" encoding="UTF-8"?>
<Relationships xmlns="http://schemas.openxmlformats.org/package/2006/relationships"><Relationship Id="rId1" Type="http://schemas.openxmlformats.org/officeDocument/2006/relationships/chart" Target="../charts/chart11.xml"/><Relationship Id="rId2" Type="http://schemas.openxmlformats.org/officeDocument/2006/relationships/chart" Target="../charts/chart12.xml"/>
</Relationships>
</file>

<file path=xl/drawings/_rels/drawing7.xml.rels><?xml version="1.0" encoding="UTF-8"?>
<Relationships xmlns="http://schemas.openxmlformats.org/package/2006/relationships"><Relationship Id="rId1" Type="http://schemas.openxmlformats.org/officeDocument/2006/relationships/chart" Target="../charts/chart13.xml"/><Relationship Id="rId2" Type="http://schemas.openxmlformats.org/officeDocument/2006/relationships/chart" Target="../charts/chart14.xml"/>
</Relationships>
</file>

<file path=xl/drawings/_rels/drawing8.xml.rels><?xml version="1.0" encoding="UTF-8"?>
<Relationships xmlns="http://schemas.openxmlformats.org/package/2006/relationships"><Relationship Id="rId1" Type="http://schemas.openxmlformats.org/officeDocument/2006/relationships/chart" Target="../charts/chart15.xml"/><Relationship Id="rId2" Type="http://schemas.openxmlformats.org/officeDocument/2006/relationships/chart" Target="../charts/chart16.xml"/>
</Relationships>
</file>

<file path=xl/drawings/_rels/drawing9.xml.rels><?xml version="1.0" encoding="UTF-8"?>
<Relationships xmlns="http://schemas.openxmlformats.org/package/2006/relationships"><Relationship Id="rId1" Type="http://schemas.openxmlformats.org/officeDocument/2006/relationships/chart" Target="../charts/chart17.xml"/><Relationship Id="rId2" Type="http://schemas.openxmlformats.org/officeDocument/2006/relationships/chart" Target="../charts/chart18.xml"/>
</Relationships>
</file>

<file path=xl/drawings/_rels/drawing10.xml.rels><?xml version="1.0" encoding="UTF-8"?>
<Relationships xmlns="http://schemas.openxmlformats.org/package/2006/relationships"><Relationship Id="rId1" Type="http://schemas.openxmlformats.org/officeDocument/2006/relationships/chart" Target="../charts/chart19.xml"/><Relationship Id="rId2" Type="http://schemas.openxmlformats.org/officeDocument/2006/relationships/chart" Target="../charts/chart20.xml"/>
</Relationships>
</file>

<file path=xl/drawings/_rels/drawing11.xml.rels><?xml version="1.0" encoding="UTF-8"?>
<Relationships xmlns="http://schemas.openxmlformats.org/package/2006/relationships"><Relationship Id="rId1" Type="http://schemas.openxmlformats.org/officeDocument/2006/relationships/chart" Target="../charts/chart21.xml"/><Relationship Id="rId2" Type="http://schemas.openxmlformats.org/officeDocument/2006/relationships/chart" Target="../charts/chart2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7</xdr:col>
      <xdr:colOff>228600</xdr:colOff>
      <xdr:row>20</xdr:row>
      <xdr:rowOff>56880</xdr:rowOff>
    </xdr:from>
    <xdr:to>
      <xdr:col>12</xdr:col>
      <xdr:colOff>466200</xdr:colOff>
      <xdr:row>32</xdr:row>
      <xdr:rowOff>104400</xdr:rowOff>
    </xdr:to>
    <xdr:graphicFrame>
      <xdr:nvGraphicFramePr>
        <xdr:cNvPr id="0" name="Gráfico 2"/>
        <xdr:cNvGraphicFramePr/>
      </xdr:nvGraphicFramePr>
      <xdr:xfrm>
        <a:off x="5864760" y="4495680"/>
        <a:ext cx="4263480" cy="23335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19</xdr:col>
      <xdr:colOff>0</xdr:colOff>
      <xdr:row>20</xdr:row>
      <xdr:rowOff>0</xdr:rowOff>
    </xdr:from>
    <xdr:to>
      <xdr:col>24</xdr:col>
      <xdr:colOff>237600</xdr:colOff>
      <xdr:row>32</xdr:row>
      <xdr:rowOff>190080</xdr:rowOff>
    </xdr:to>
    <xdr:graphicFrame>
      <xdr:nvGraphicFramePr>
        <xdr:cNvPr id="1" name="Gráfico 2"/>
        <xdr:cNvGraphicFramePr/>
      </xdr:nvGraphicFramePr>
      <xdr:xfrm>
        <a:off x="15298560" y="4438800"/>
        <a:ext cx="4263480" cy="24760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12</xdr:col>
      <xdr:colOff>480240</xdr:colOff>
      <xdr:row>20</xdr:row>
      <xdr:rowOff>9360</xdr:rowOff>
    </xdr:from>
    <xdr:to>
      <xdr:col>12</xdr:col>
      <xdr:colOff>640080</xdr:colOff>
      <xdr:row>31</xdr:row>
      <xdr:rowOff>37800</xdr:rowOff>
    </xdr:to>
    <xdr:graphicFrame>
      <xdr:nvGraphicFramePr>
        <xdr:cNvPr id="2" name="Gráfico 2"/>
        <xdr:cNvGraphicFramePr/>
      </xdr:nvGraphicFramePr>
      <xdr:xfrm>
        <a:off x="480240" y="4495680"/>
        <a:ext cx="159840" cy="21240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twoCell">
    <xdr:from>
      <xdr:col>12</xdr:col>
      <xdr:colOff>172800</xdr:colOff>
      <xdr:row>13</xdr:row>
      <xdr:rowOff>100800</xdr:rowOff>
    </xdr:from>
    <xdr:to>
      <xdr:col>12</xdr:col>
      <xdr:colOff>543960</xdr:colOff>
      <xdr:row>14</xdr:row>
      <xdr:rowOff>186480</xdr:rowOff>
    </xdr:to>
    <xdr:sp>
      <xdr:nvSpPr>
        <xdr:cNvPr id="3" name="CuadroTexto 2"/>
        <xdr:cNvSpPr/>
      </xdr:nvSpPr>
      <xdr:spPr>
        <a:xfrm>
          <a:off x="172800" y="3168000"/>
          <a:ext cx="371160" cy="285480"/>
        </a:xfrm>
        <a:prstGeom prst="rect">
          <a:avLst/>
        </a:prstGeom>
        <a:solidFill>
          <a:srgbClr val="f8cbad"/>
        </a:solidFill>
        <a:ln w="9525">
          <a:solidFill>
            <a:srgbClr val="ffffff">
              <a:shade val="50000"/>
            </a:srgbClr>
          </a:solidFill>
          <a:round/>
        </a:ln>
      </xdr:spPr>
      <xdr:style>
        <a:lnRef idx="0"/>
        <a:fillRef idx="0"/>
        <a:effectRef idx="0"/>
        <a:fontRef idx="minor"/>
      </xdr:style>
      <xdr:txBody>
        <a:bodyPr horzOverflow="clip" vertOverflow="clip" anchor="t">
          <a:noAutofit/>
        </a:bodyPr>
        <a:p>
          <a:pPr>
            <a:lnSpc>
              <a:spcPct val="100000"/>
            </a:lnSpc>
            <a:tabLst>
              <a:tab algn="l" pos="0"/>
            </a:tabLst>
          </a:pPr>
          <a:r>
            <a:rPr b="0" lang="en-US" sz="1100" spc="-1" strike="noStrike">
              <a:latin typeface="Calibri"/>
              <a:ea typeface="Calibri"/>
            </a:rPr>
            <a:t>Eq. 18 del Groff et al 2022</a:t>
          </a:r>
          <a:endParaRPr b="0" lang="en-DK" sz="1100" spc="-1" strike="noStrike">
            <a:latin typeface="Times New Roman"/>
          </a:endParaRPr>
        </a:p>
      </xdr:txBody>
    </xdr:sp>
    <xdr:clientData/>
  </xdr:twoCellAnchor>
  <xdr:twoCellAnchor editAs="oneCell">
    <xdr:from>
      <xdr:col>20</xdr:col>
      <xdr:colOff>392040</xdr:colOff>
      <xdr:row>21</xdr:row>
      <xdr:rowOff>32760</xdr:rowOff>
    </xdr:from>
    <xdr:to>
      <xdr:col>25</xdr:col>
      <xdr:colOff>629640</xdr:colOff>
      <xdr:row>35</xdr:row>
      <xdr:rowOff>32400</xdr:rowOff>
    </xdr:to>
    <xdr:graphicFrame>
      <xdr:nvGraphicFramePr>
        <xdr:cNvPr id="4" name="Gráfico 2"/>
        <xdr:cNvGraphicFramePr/>
      </xdr:nvGraphicFramePr>
      <xdr:xfrm>
        <a:off x="6833520" y="4709520"/>
        <a:ext cx="4263480" cy="26665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twoCell">
    <xdr:from>
      <xdr:col>14</xdr:col>
      <xdr:colOff>401760</xdr:colOff>
      <xdr:row>14</xdr:row>
      <xdr:rowOff>55440</xdr:rowOff>
    </xdr:from>
    <xdr:to>
      <xdr:col>16</xdr:col>
      <xdr:colOff>772920</xdr:colOff>
      <xdr:row>15</xdr:row>
      <xdr:rowOff>134640</xdr:rowOff>
    </xdr:to>
    <xdr:sp>
      <xdr:nvSpPr>
        <xdr:cNvPr id="5" name="CuadroTexto 3"/>
        <xdr:cNvSpPr/>
      </xdr:nvSpPr>
      <xdr:spPr>
        <a:xfrm>
          <a:off x="2012040" y="3322440"/>
          <a:ext cx="1981440" cy="279360"/>
        </a:xfrm>
        <a:prstGeom prst="rect">
          <a:avLst/>
        </a:prstGeom>
        <a:solidFill>
          <a:srgbClr val="f8cbad"/>
        </a:solidFill>
        <a:ln w="9525">
          <a:solidFill>
            <a:srgbClr val="ffffff">
              <a:shade val="50000"/>
            </a:srgbClr>
          </a:solidFill>
          <a:round/>
        </a:ln>
      </xdr:spPr>
      <xdr:style>
        <a:lnRef idx="0"/>
        <a:fillRef idx="0"/>
        <a:effectRef idx="0"/>
        <a:fontRef idx="minor"/>
      </xdr:style>
      <xdr:txBody>
        <a:bodyPr horzOverflow="clip" vertOverflow="clip" anchor="t">
          <a:noAutofit/>
        </a:bodyPr>
        <a:p>
          <a:pPr>
            <a:lnSpc>
              <a:spcPct val="100000"/>
            </a:lnSpc>
            <a:tabLst>
              <a:tab algn="l" pos="0"/>
            </a:tabLst>
          </a:pPr>
          <a:r>
            <a:rPr b="0" lang="en-US" sz="1100" spc="-1" strike="noStrike">
              <a:latin typeface="Calibri"/>
              <a:ea typeface="Calibri"/>
            </a:rPr>
            <a:t>Eq. 18 del Groff et al 2022</a:t>
          </a:r>
          <a:endParaRPr b="0" lang="en-DK" sz="1100" spc="-1" strike="noStrike">
            <a:latin typeface="Times New Roman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12</xdr:col>
      <xdr:colOff>480240</xdr:colOff>
      <xdr:row>20</xdr:row>
      <xdr:rowOff>9360</xdr:rowOff>
    </xdr:from>
    <xdr:to>
      <xdr:col>12</xdr:col>
      <xdr:colOff>640080</xdr:colOff>
      <xdr:row>31</xdr:row>
      <xdr:rowOff>37800</xdr:rowOff>
    </xdr:to>
    <xdr:graphicFrame>
      <xdr:nvGraphicFramePr>
        <xdr:cNvPr id="6" name="Gráfico 2"/>
        <xdr:cNvGraphicFramePr/>
      </xdr:nvGraphicFramePr>
      <xdr:xfrm>
        <a:off x="480240" y="4495680"/>
        <a:ext cx="159840" cy="21240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twoCell">
    <xdr:from>
      <xdr:col>12</xdr:col>
      <xdr:colOff>172800</xdr:colOff>
      <xdr:row>13</xdr:row>
      <xdr:rowOff>100800</xdr:rowOff>
    </xdr:from>
    <xdr:to>
      <xdr:col>12</xdr:col>
      <xdr:colOff>543960</xdr:colOff>
      <xdr:row>14</xdr:row>
      <xdr:rowOff>186480</xdr:rowOff>
    </xdr:to>
    <xdr:sp>
      <xdr:nvSpPr>
        <xdr:cNvPr id="7" name="CuadroTexto 2"/>
        <xdr:cNvSpPr/>
      </xdr:nvSpPr>
      <xdr:spPr>
        <a:xfrm>
          <a:off x="172800" y="3168000"/>
          <a:ext cx="371160" cy="285480"/>
        </a:xfrm>
        <a:prstGeom prst="rect">
          <a:avLst/>
        </a:prstGeom>
        <a:solidFill>
          <a:srgbClr val="f8cbad"/>
        </a:solidFill>
        <a:ln w="9525">
          <a:solidFill>
            <a:srgbClr val="ffffff">
              <a:shade val="50000"/>
            </a:srgbClr>
          </a:solidFill>
          <a:round/>
        </a:ln>
      </xdr:spPr>
      <xdr:style>
        <a:lnRef idx="0"/>
        <a:fillRef idx="0"/>
        <a:effectRef idx="0"/>
        <a:fontRef idx="minor"/>
      </xdr:style>
      <xdr:txBody>
        <a:bodyPr horzOverflow="clip" vertOverflow="clip" anchor="t">
          <a:noAutofit/>
        </a:bodyPr>
        <a:p>
          <a:pPr>
            <a:lnSpc>
              <a:spcPct val="100000"/>
            </a:lnSpc>
            <a:tabLst>
              <a:tab algn="l" pos="0"/>
            </a:tabLst>
          </a:pPr>
          <a:r>
            <a:rPr b="0" lang="en-US" sz="1100" spc="-1" strike="noStrike">
              <a:latin typeface="Calibri"/>
              <a:ea typeface="Calibri"/>
            </a:rPr>
            <a:t>Eq. </a:t>
          </a:r>
          <a:r>
            <a:rPr b="0" lang="en-US" sz="1100" spc="-1" strike="noStrike">
              <a:latin typeface="Calibri"/>
              <a:ea typeface="Calibri"/>
            </a:rPr>
            <a:t>18 </a:t>
          </a:r>
          <a:r>
            <a:rPr b="0" lang="en-US" sz="1100" spc="-1" strike="noStrike">
              <a:latin typeface="Calibri"/>
              <a:ea typeface="Calibri"/>
            </a:rPr>
            <a:t>del </a:t>
          </a:r>
          <a:r>
            <a:rPr b="0" lang="en-US" sz="1100" spc="-1" strike="noStrike">
              <a:latin typeface="Calibri"/>
              <a:ea typeface="Calibri"/>
            </a:rPr>
            <a:t>Gr</a:t>
          </a:r>
          <a:r>
            <a:rPr b="0" lang="en-US" sz="1100" spc="-1" strike="noStrike">
              <a:latin typeface="Calibri"/>
              <a:ea typeface="Calibri"/>
            </a:rPr>
            <a:t>off </a:t>
          </a:r>
          <a:r>
            <a:rPr b="0" lang="en-US" sz="1100" spc="-1" strike="noStrike">
              <a:latin typeface="Calibri"/>
              <a:ea typeface="Calibri"/>
            </a:rPr>
            <a:t>et </a:t>
          </a:r>
          <a:r>
            <a:rPr b="0" lang="en-US" sz="1100" spc="-1" strike="noStrike">
              <a:latin typeface="Calibri"/>
              <a:ea typeface="Calibri"/>
            </a:rPr>
            <a:t>al </a:t>
          </a:r>
          <a:r>
            <a:rPr b="0" lang="en-US" sz="1100" spc="-1" strike="noStrike">
              <a:latin typeface="Calibri"/>
              <a:ea typeface="Calibri"/>
            </a:rPr>
            <a:t>20</a:t>
          </a:r>
          <a:r>
            <a:rPr b="0" lang="en-US" sz="1100" spc="-1" strike="noStrike">
              <a:latin typeface="Calibri"/>
              <a:ea typeface="Calibri"/>
            </a:rPr>
            <a:t>22</a:t>
          </a:r>
          <a:endParaRPr b="0" lang="en-DK" sz="1100" spc="-1" strike="noStrike">
            <a:latin typeface="Times New Roman"/>
          </a:endParaRPr>
        </a:p>
      </xdr:txBody>
    </xdr:sp>
    <xdr:clientData/>
  </xdr:twoCellAnchor>
  <xdr:twoCellAnchor editAs="oneCell">
    <xdr:from>
      <xdr:col>20</xdr:col>
      <xdr:colOff>392040</xdr:colOff>
      <xdr:row>21</xdr:row>
      <xdr:rowOff>32760</xdr:rowOff>
    </xdr:from>
    <xdr:to>
      <xdr:col>25</xdr:col>
      <xdr:colOff>629640</xdr:colOff>
      <xdr:row>35</xdr:row>
      <xdr:rowOff>32400</xdr:rowOff>
    </xdr:to>
    <xdr:graphicFrame>
      <xdr:nvGraphicFramePr>
        <xdr:cNvPr id="8" name="Gráfico 2"/>
        <xdr:cNvGraphicFramePr/>
      </xdr:nvGraphicFramePr>
      <xdr:xfrm>
        <a:off x="6833520" y="4709520"/>
        <a:ext cx="4263480" cy="26665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twoCell">
    <xdr:from>
      <xdr:col>14</xdr:col>
      <xdr:colOff>401760</xdr:colOff>
      <xdr:row>14</xdr:row>
      <xdr:rowOff>55440</xdr:rowOff>
    </xdr:from>
    <xdr:to>
      <xdr:col>16</xdr:col>
      <xdr:colOff>772920</xdr:colOff>
      <xdr:row>15</xdr:row>
      <xdr:rowOff>134640</xdr:rowOff>
    </xdr:to>
    <xdr:sp>
      <xdr:nvSpPr>
        <xdr:cNvPr id="9" name="CuadroTexto 3"/>
        <xdr:cNvSpPr/>
      </xdr:nvSpPr>
      <xdr:spPr>
        <a:xfrm>
          <a:off x="2012040" y="3322440"/>
          <a:ext cx="1981440" cy="279360"/>
        </a:xfrm>
        <a:prstGeom prst="rect">
          <a:avLst/>
        </a:prstGeom>
        <a:solidFill>
          <a:srgbClr val="f8cbad"/>
        </a:solidFill>
        <a:ln w="9525">
          <a:solidFill>
            <a:srgbClr val="ffffff">
              <a:shade val="50000"/>
            </a:srgbClr>
          </a:solidFill>
          <a:round/>
        </a:ln>
      </xdr:spPr>
      <xdr:style>
        <a:lnRef idx="0"/>
        <a:fillRef idx="0"/>
        <a:effectRef idx="0"/>
        <a:fontRef idx="minor"/>
      </xdr:style>
      <xdr:txBody>
        <a:bodyPr horzOverflow="clip" vertOverflow="clip" anchor="t">
          <a:noAutofit/>
        </a:bodyPr>
        <a:p>
          <a:pPr>
            <a:lnSpc>
              <a:spcPct val="100000"/>
            </a:lnSpc>
            <a:tabLst>
              <a:tab algn="l" pos="0"/>
            </a:tabLst>
          </a:pPr>
          <a:r>
            <a:rPr b="0" lang="en-US" sz="1100" spc="-1" strike="noStrike">
              <a:latin typeface="Calibri"/>
              <a:ea typeface="Calibri"/>
            </a:rPr>
            <a:t>E</a:t>
          </a:r>
          <a:r>
            <a:rPr b="0" lang="en-US" sz="1100" spc="-1" strike="noStrike">
              <a:latin typeface="Calibri"/>
              <a:ea typeface="Calibri"/>
            </a:rPr>
            <a:t>q</a:t>
          </a:r>
          <a:r>
            <a:rPr b="0" lang="en-US" sz="1100" spc="-1" strike="noStrike">
              <a:latin typeface="Calibri"/>
              <a:ea typeface="Calibri"/>
            </a:rPr>
            <a:t>.</a:t>
          </a:r>
          <a:r>
            <a:rPr b="0" lang="en-US" sz="1100" spc="-1" strike="noStrike">
              <a:latin typeface="Calibri"/>
              <a:ea typeface="Calibri"/>
            </a:rPr>
            <a:t> </a:t>
          </a:r>
          <a:r>
            <a:rPr b="0" lang="en-US" sz="1100" spc="-1" strike="noStrike">
              <a:latin typeface="Calibri"/>
              <a:ea typeface="Calibri"/>
            </a:rPr>
            <a:t>1</a:t>
          </a:r>
          <a:r>
            <a:rPr b="0" lang="en-US" sz="1100" spc="-1" strike="noStrike">
              <a:latin typeface="Calibri"/>
              <a:ea typeface="Calibri"/>
            </a:rPr>
            <a:t>8</a:t>
          </a:r>
          <a:r>
            <a:rPr b="0" lang="en-US" sz="1100" spc="-1" strike="noStrike">
              <a:latin typeface="Calibri"/>
              <a:ea typeface="Calibri"/>
            </a:rPr>
            <a:t> </a:t>
          </a:r>
          <a:r>
            <a:rPr b="0" lang="en-US" sz="1100" spc="-1" strike="noStrike">
              <a:latin typeface="Calibri"/>
              <a:ea typeface="Calibri"/>
            </a:rPr>
            <a:t>d</a:t>
          </a:r>
          <a:r>
            <a:rPr b="0" lang="en-US" sz="1100" spc="-1" strike="noStrike">
              <a:latin typeface="Calibri"/>
              <a:ea typeface="Calibri"/>
            </a:rPr>
            <a:t>e</a:t>
          </a:r>
          <a:r>
            <a:rPr b="0" lang="en-US" sz="1100" spc="-1" strike="noStrike">
              <a:latin typeface="Calibri"/>
              <a:ea typeface="Calibri"/>
            </a:rPr>
            <a:t>l</a:t>
          </a:r>
          <a:r>
            <a:rPr b="0" lang="en-US" sz="1100" spc="-1" strike="noStrike">
              <a:latin typeface="Calibri"/>
              <a:ea typeface="Calibri"/>
            </a:rPr>
            <a:t> </a:t>
          </a:r>
          <a:r>
            <a:rPr b="0" lang="en-US" sz="1100" spc="-1" strike="noStrike">
              <a:latin typeface="Calibri"/>
              <a:ea typeface="Calibri"/>
            </a:rPr>
            <a:t>G</a:t>
          </a:r>
          <a:r>
            <a:rPr b="0" lang="en-US" sz="1100" spc="-1" strike="noStrike">
              <a:latin typeface="Calibri"/>
              <a:ea typeface="Calibri"/>
            </a:rPr>
            <a:t>r</a:t>
          </a:r>
          <a:r>
            <a:rPr b="0" lang="en-US" sz="1100" spc="-1" strike="noStrike">
              <a:latin typeface="Calibri"/>
              <a:ea typeface="Calibri"/>
            </a:rPr>
            <a:t>o</a:t>
          </a:r>
          <a:r>
            <a:rPr b="0" lang="en-US" sz="1100" spc="-1" strike="noStrike">
              <a:latin typeface="Calibri"/>
              <a:ea typeface="Calibri"/>
            </a:rPr>
            <a:t>f</a:t>
          </a:r>
          <a:r>
            <a:rPr b="0" lang="en-US" sz="1100" spc="-1" strike="noStrike">
              <a:latin typeface="Calibri"/>
              <a:ea typeface="Calibri"/>
            </a:rPr>
            <a:t>f</a:t>
          </a:r>
          <a:r>
            <a:rPr b="0" lang="en-US" sz="1100" spc="-1" strike="noStrike">
              <a:latin typeface="Calibri"/>
              <a:ea typeface="Calibri"/>
            </a:rPr>
            <a:t> </a:t>
          </a:r>
          <a:r>
            <a:rPr b="0" lang="en-US" sz="1100" spc="-1" strike="noStrike">
              <a:latin typeface="Calibri"/>
              <a:ea typeface="Calibri"/>
            </a:rPr>
            <a:t>e</a:t>
          </a:r>
          <a:r>
            <a:rPr b="0" lang="en-US" sz="1100" spc="-1" strike="noStrike">
              <a:latin typeface="Calibri"/>
              <a:ea typeface="Calibri"/>
            </a:rPr>
            <a:t>t</a:t>
          </a:r>
          <a:r>
            <a:rPr b="0" lang="en-US" sz="1100" spc="-1" strike="noStrike">
              <a:latin typeface="Calibri"/>
              <a:ea typeface="Calibri"/>
            </a:rPr>
            <a:t> </a:t>
          </a:r>
          <a:r>
            <a:rPr b="0" lang="en-US" sz="1100" spc="-1" strike="noStrike">
              <a:latin typeface="Calibri"/>
              <a:ea typeface="Calibri"/>
            </a:rPr>
            <a:t>a</a:t>
          </a:r>
          <a:r>
            <a:rPr b="0" lang="en-US" sz="1100" spc="-1" strike="noStrike">
              <a:latin typeface="Calibri"/>
              <a:ea typeface="Calibri"/>
            </a:rPr>
            <a:t>l</a:t>
          </a:r>
          <a:r>
            <a:rPr b="0" lang="en-US" sz="1100" spc="-1" strike="noStrike">
              <a:latin typeface="Calibri"/>
              <a:ea typeface="Calibri"/>
            </a:rPr>
            <a:t> </a:t>
          </a:r>
          <a:r>
            <a:rPr b="0" lang="en-US" sz="1100" spc="-1" strike="noStrike">
              <a:latin typeface="Calibri"/>
              <a:ea typeface="Calibri"/>
            </a:rPr>
            <a:t>2</a:t>
          </a:r>
          <a:r>
            <a:rPr b="0" lang="en-US" sz="1100" spc="-1" strike="noStrike">
              <a:latin typeface="Calibri"/>
              <a:ea typeface="Calibri"/>
            </a:rPr>
            <a:t>0</a:t>
          </a:r>
          <a:r>
            <a:rPr b="0" lang="en-US" sz="1100" spc="-1" strike="noStrike">
              <a:latin typeface="Calibri"/>
              <a:ea typeface="Calibri"/>
            </a:rPr>
            <a:t>2</a:t>
          </a:r>
          <a:r>
            <a:rPr b="0" lang="en-US" sz="1100" spc="-1" strike="noStrike">
              <a:latin typeface="Calibri"/>
              <a:ea typeface="Calibri"/>
            </a:rPr>
            <a:t>2</a:t>
          </a:r>
          <a:endParaRPr b="0" lang="en-DK" sz="1100" spc="-1" strike="noStrike">
            <a:latin typeface="Times New Roman"/>
          </a:endParaRP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7</xdr:col>
      <xdr:colOff>228600</xdr:colOff>
      <xdr:row>20</xdr:row>
      <xdr:rowOff>56880</xdr:rowOff>
    </xdr:from>
    <xdr:to>
      <xdr:col>12</xdr:col>
      <xdr:colOff>466200</xdr:colOff>
      <xdr:row>32</xdr:row>
      <xdr:rowOff>104400</xdr:rowOff>
    </xdr:to>
    <xdr:graphicFrame>
      <xdr:nvGraphicFramePr>
        <xdr:cNvPr id="10" name="Gráfico 2"/>
        <xdr:cNvGraphicFramePr/>
      </xdr:nvGraphicFramePr>
      <xdr:xfrm>
        <a:off x="5864760" y="4495680"/>
        <a:ext cx="4263480" cy="23335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19</xdr:col>
      <xdr:colOff>0</xdr:colOff>
      <xdr:row>20</xdr:row>
      <xdr:rowOff>0</xdr:rowOff>
    </xdr:from>
    <xdr:to>
      <xdr:col>24</xdr:col>
      <xdr:colOff>237600</xdr:colOff>
      <xdr:row>32</xdr:row>
      <xdr:rowOff>190080</xdr:rowOff>
    </xdr:to>
    <xdr:graphicFrame>
      <xdr:nvGraphicFramePr>
        <xdr:cNvPr id="11" name="Gráfico 2"/>
        <xdr:cNvGraphicFramePr/>
      </xdr:nvGraphicFramePr>
      <xdr:xfrm>
        <a:off x="15298560" y="4438800"/>
        <a:ext cx="4263480" cy="24760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12</xdr:col>
      <xdr:colOff>480240</xdr:colOff>
      <xdr:row>20</xdr:row>
      <xdr:rowOff>9360</xdr:rowOff>
    </xdr:from>
    <xdr:to>
      <xdr:col>12</xdr:col>
      <xdr:colOff>640080</xdr:colOff>
      <xdr:row>31</xdr:row>
      <xdr:rowOff>37800</xdr:rowOff>
    </xdr:to>
    <xdr:graphicFrame>
      <xdr:nvGraphicFramePr>
        <xdr:cNvPr id="12" name="Gráfico 2"/>
        <xdr:cNvGraphicFramePr/>
      </xdr:nvGraphicFramePr>
      <xdr:xfrm>
        <a:off x="480240" y="4495680"/>
        <a:ext cx="159840" cy="21240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twoCell">
    <xdr:from>
      <xdr:col>12</xdr:col>
      <xdr:colOff>162000</xdr:colOff>
      <xdr:row>13</xdr:row>
      <xdr:rowOff>123840</xdr:rowOff>
    </xdr:from>
    <xdr:to>
      <xdr:col>12</xdr:col>
      <xdr:colOff>533160</xdr:colOff>
      <xdr:row>15</xdr:row>
      <xdr:rowOff>9360</xdr:rowOff>
    </xdr:to>
    <xdr:sp>
      <xdr:nvSpPr>
        <xdr:cNvPr id="13" name="CuadroTexto 2"/>
        <xdr:cNvSpPr/>
      </xdr:nvSpPr>
      <xdr:spPr>
        <a:xfrm>
          <a:off x="162000" y="3191040"/>
          <a:ext cx="371160" cy="285480"/>
        </a:xfrm>
        <a:prstGeom prst="rect">
          <a:avLst/>
        </a:prstGeom>
        <a:solidFill>
          <a:srgbClr val="f8cbad"/>
        </a:solidFill>
        <a:ln w="9525">
          <a:solidFill>
            <a:srgbClr val="ffffff">
              <a:shade val="50000"/>
            </a:srgbClr>
          </a:solidFill>
          <a:round/>
        </a:ln>
      </xdr:spPr>
      <xdr:style>
        <a:lnRef idx="0"/>
        <a:fillRef idx="0"/>
        <a:effectRef idx="0"/>
        <a:fontRef idx="minor"/>
      </xdr:style>
      <xdr:txBody>
        <a:bodyPr horzOverflow="clip" vertOverflow="clip" anchor="t">
          <a:noAutofit/>
        </a:bodyPr>
        <a:p>
          <a:pPr>
            <a:lnSpc>
              <a:spcPct val="100000"/>
            </a:lnSpc>
            <a:tabLst>
              <a:tab algn="l" pos="0"/>
            </a:tabLst>
          </a:pPr>
          <a:r>
            <a:rPr b="0" lang="en-US" sz="1100" spc="-1" strike="noStrike">
              <a:latin typeface="Calibri"/>
              <a:ea typeface="Calibri"/>
            </a:rPr>
            <a:t>Eq. 18 del Groff et al 2022</a:t>
          </a:r>
          <a:endParaRPr b="0" lang="en-DK" sz="1100" spc="-1" strike="noStrike">
            <a:latin typeface="Times New Roman"/>
          </a:endParaRPr>
        </a:p>
      </xdr:txBody>
    </xdr:sp>
    <xdr:clientData/>
  </xdr:twoCellAnchor>
  <xdr:twoCellAnchor editAs="oneCell">
    <xdr:from>
      <xdr:col>20</xdr:col>
      <xdr:colOff>392040</xdr:colOff>
      <xdr:row>21</xdr:row>
      <xdr:rowOff>32760</xdr:rowOff>
    </xdr:from>
    <xdr:to>
      <xdr:col>25</xdr:col>
      <xdr:colOff>629640</xdr:colOff>
      <xdr:row>35</xdr:row>
      <xdr:rowOff>32400</xdr:rowOff>
    </xdr:to>
    <xdr:graphicFrame>
      <xdr:nvGraphicFramePr>
        <xdr:cNvPr id="14" name="Gráfico 2"/>
        <xdr:cNvGraphicFramePr/>
      </xdr:nvGraphicFramePr>
      <xdr:xfrm>
        <a:off x="6833520" y="4709520"/>
        <a:ext cx="4263480" cy="26665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twoCell">
    <xdr:from>
      <xdr:col>14</xdr:col>
      <xdr:colOff>401760</xdr:colOff>
      <xdr:row>14</xdr:row>
      <xdr:rowOff>55440</xdr:rowOff>
    </xdr:from>
    <xdr:to>
      <xdr:col>16</xdr:col>
      <xdr:colOff>772920</xdr:colOff>
      <xdr:row>15</xdr:row>
      <xdr:rowOff>134640</xdr:rowOff>
    </xdr:to>
    <xdr:sp>
      <xdr:nvSpPr>
        <xdr:cNvPr id="15" name="CuadroTexto 3"/>
        <xdr:cNvSpPr/>
      </xdr:nvSpPr>
      <xdr:spPr>
        <a:xfrm>
          <a:off x="2012040" y="3322440"/>
          <a:ext cx="1981440" cy="279360"/>
        </a:xfrm>
        <a:prstGeom prst="rect">
          <a:avLst/>
        </a:prstGeom>
        <a:solidFill>
          <a:srgbClr val="f8cbad"/>
        </a:solidFill>
        <a:ln w="9525">
          <a:solidFill>
            <a:srgbClr val="ffffff">
              <a:shade val="50000"/>
            </a:srgbClr>
          </a:solidFill>
          <a:round/>
        </a:ln>
      </xdr:spPr>
      <xdr:style>
        <a:lnRef idx="0"/>
        <a:fillRef idx="0"/>
        <a:effectRef idx="0"/>
        <a:fontRef idx="minor"/>
      </xdr:style>
      <xdr:txBody>
        <a:bodyPr horzOverflow="clip" vertOverflow="clip" anchor="t">
          <a:noAutofit/>
        </a:bodyPr>
        <a:p>
          <a:pPr>
            <a:lnSpc>
              <a:spcPct val="100000"/>
            </a:lnSpc>
            <a:tabLst>
              <a:tab algn="l" pos="0"/>
            </a:tabLst>
          </a:pPr>
          <a:r>
            <a:rPr b="0" lang="en-US" sz="1100" spc="-1" strike="noStrike">
              <a:latin typeface="Calibri"/>
              <a:ea typeface="Calibri"/>
            </a:rPr>
            <a:t>Eq. 18 del Groff et al 2022</a:t>
          </a:r>
          <a:endParaRPr b="0" lang="en-DK" sz="1100" spc="-1" strike="noStrike">
            <a:latin typeface="Times New Roman"/>
          </a:endParaRP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7</xdr:col>
      <xdr:colOff>228600</xdr:colOff>
      <xdr:row>20</xdr:row>
      <xdr:rowOff>56880</xdr:rowOff>
    </xdr:from>
    <xdr:to>
      <xdr:col>12</xdr:col>
      <xdr:colOff>466200</xdr:colOff>
      <xdr:row>32</xdr:row>
      <xdr:rowOff>104400</xdr:rowOff>
    </xdr:to>
    <xdr:graphicFrame>
      <xdr:nvGraphicFramePr>
        <xdr:cNvPr id="16" name="Gráfico 2"/>
        <xdr:cNvGraphicFramePr/>
      </xdr:nvGraphicFramePr>
      <xdr:xfrm>
        <a:off x="5864760" y="4495680"/>
        <a:ext cx="4263480" cy="23335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19</xdr:col>
      <xdr:colOff>0</xdr:colOff>
      <xdr:row>20</xdr:row>
      <xdr:rowOff>0</xdr:rowOff>
    </xdr:from>
    <xdr:to>
      <xdr:col>24</xdr:col>
      <xdr:colOff>237600</xdr:colOff>
      <xdr:row>32</xdr:row>
      <xdr:rowOff>190080</xdr:rowOff>
    </xdr:to>
    <xdr:graphicFrame>
      <xdr:nvGraphicFramePr>
        <xdr:cNvPr id="17" name="Gráfico 2"/>
        <xdr:cNvGraphicFramePr/>
      </xdr:nvGraphicFramePr>
      <xdr:xfrm>
        <a:off x="15298560" y="4438800"/>
        <a:ext cx="4263480" cy="24760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12</xdr:col>
      <xdr:colOff>480240</xdr:colOff>
      <xdr:row>20</xdr:row>
      <xdr:rowOff>9360</xdr:rowOff>
    </xdr:from>
    <xdr:to>
      <xdr:col>12</xdr:col>
      <xdr:colOff>640080</xdr:colOff>
      <xdr:row>31</xdr:row>
      <xdr:rowOff>37800</xdr:rowOff>
    </xdr:to>
    <xdr:graphicFrame>
      <xdr:nvGraphicFramePr>
        <xdr:cNvPr id="18" name="Gráfico 2"/>
        <xdr:cNvGraphicFramePr/>
      </xdr:nvGraphicFramePr>
      <xdr:xfrm>
        <a:off x="480240" y="4495680"/>
        <a:ext cx="159840" cy="21240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twoCell">
    <xdr:from>
      <xdr:col>12</xdr:col>
      <xdr:colOff>162000</xdr:colOff>
      <xdr:row>13</xdr:row>
      <xdr:rowOff>123840</xdr:rowOff>
    </xdr:from>
    <xdr:to>
      <xdr:col>12</xdr:col>
      <xdr:colOff>533160</xdr:colOff>
      <xdr:row>15</xdr:row>
      <xdr:rowOff>9360</xdr:rowOff>
    </xdr:to>
    <xdr:sp>
      <xdr:nvSpPr>
        <xdr:cNvPr id="19" name="CuadroTexto 2"/>
        <xdr:cNvSpPr/>
      </xdr:nvSpPr>
      <xdr:spPr>
        <a:xfrm>
          <a:off x="162000" y="3191040"/>
          <a:ext cx="371160" cy="285480"/>
        </a:xfrm>
        <a:prstGeom prst="rect">
          <a:avLst/>
        </a:prstGeom>
        <a:solidFill>
          <a:srgbClr val="f8cbad"/>
        </a:solidFill>
        <a:ln w="9525">
          <a:solidFill>
            <a:srgbClr val="ffffff">
              <a:shade val="50000"/>
            </a:srgbClr>
          </a:solidFill>
          <a:round/>
        </a:ln>
      </xdr:spPr>
      <xdr:style>
        <a:lnRef idx="0"/>
        <a:fillRef idx="0"/>
        <a:effectRef idx="0"/>
        <a:fontRef idx="minor"/>
      </xdr:style>
      <xdr:txBody>
        <a:bodyPr horzOverflow="clip" vertOverflow="clip" anchor="t">
          <a:noAutofit/>
        </a:bodyPr>
        <a:p>
          <a:pPr>
            <a:lnSpc>
              <a:spcPct val="100000"/>
            </a:lnSpc>
            <a:tabLst>
              <a:tab algn="l" pos="0"/>
            </a:tabLst>
          </a:pPr>
          <a:r>
            <a:rPr b="0" lang="en-US" sz="1100" spc="-1" strike="noStrike">
              <a:latin typeface="Calibri"/>
              <a:ea typeface="Calibri"/>
            </a:rPr>
            <a:t>Eq. 18 del Groff et al 2022</a:t>
          </a:r>
          <a:endParaRPr b="0" lang="en-DK" sz="1100" spc="-1" strike="noStrike">
            <a:latin typeface="Times New Roman"/>
          </a:endParaRPr>
        </a:p>
      </xdr:txBody>
    </xdr:sp>
    <xdr:clientData/>
  </xdr:twoCellAnchor>
  <xdr:twoCellAnchor editAs="oneCell">
    <xdr:from>
      <xdr:col>20</xdr:col>
      <xdr:colOff>392040</xdr:colOff>
      <xdr:row>21</xdr:row>
      <xdr:rowOff>32760</xdr:rowOff>
    </xdr:from>
    <xdr:to>
      <xdr:col>25</xdr:col>
      <xdr:colOff>629640</xdr:colOff>
      <xdr:row>35</xdr:row>
      <xdr:rowOff>32400</xdr:rowOff>
    </xdr:to>
    <xdr:graphicFrame>
      <xdr:nvGraphicFramePr>
        <xdr:cNvPr id="20" name="Gráfico 2"/>
        <xdr:cNvGraphicFramePr/>
      </xdr:nvGraphicFramePr>
      <xdr:xfrm>
        <a:off x="6833520" y="4709520"/>
        <a:ext cx="4263480" cy="26665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twoCell">
    <xdr:from>
      <xdr:col>14</xdr:col>
      <xdr:colOff>401760</xdr:colOff>
      <xdr:row>14</xdr:row>
      <xdr:rowOff>55440</xdr:rowOff>
    </xdr:from>
    <xdr:to>
      <xdr:col>16</xdr:col>
      <xdr:colOff>772920</xdr:colOff>
      <xdr:row>15</xdr:row>
      <xdr:rowOff>134640</xdr:rowOff>
    </xdr:to>
    <xdr:sp>
      <xdr:nvSpPr>
        <xdr:cNvPr id="21" name="CuadroTexto 3"/>
        <xdr:cNvSpPr/>
      </xdr:nvSpPr>
      <xdr:spPr>
        <a:xfrm>
          <a:off x="2012040" y="3322440"/>
          <a:ext cx="1981440" cy="279360"/>
        </a:xfrm>
        <a:prstGeom prst="rect">
          <a:avLst/>
        </a:prstGeom>
        <a:solidFill>
          <a:srgbClr val="f8cbad"/>
        </a:solidFill>
        <a:ln w="9525">
          <a:solidFill>
            <a:srgbClr val="ffffff">
              <a:shade val="50000"/>
            </a:srgbClr>
          </a:solidFill>
          <a:round/>
        </a:ln>
      </xdr:spPr>
      <xdr:style>
        <a:lnRef idx="0"/>
        <a:fillRef idx="0"/>
        <a:effectRef idx="0"/>
        <a:fontRef idx="minor"/>
      </xdr:style>
      <xdr:txBody>
        <a:bodyPr horzOverflow="clip" vertOverflow="clip" anchor="t">
          <a:noAutofit/>
        </a:bodyPr>
        <a:p>
          <a:pPr>
            <a:lnSpc>
              <a:spcPct val="100000"/>
            </a:lnSpc>
            <a:tabLst>
              <a:tab algn="l" pos="0"/>
            </a:tabLst>
          </a:pPr>
          <a:r>
            <a:rPr b="0" lang="en-US" sz="1100" spc="-1" strike="noStrike">
              <a:latin typeface="Calibri"/>
              <a:ea typeface="Calibri"/>
            </a:rPr>
            <a:t>Eq. 18 del Groff et al 2022</a:t>
          </a:r>
          <a:endParaRPr b="0" lang="en-DK" sz="1100" spc="-1" strike="noStrike">
            <a:latin typeface="Times New Roman"/>
          </a:endParaRPr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7</xdr:col>
      <xdr:colOff>228600</xdr:colOff>
      <xdr:row>20</xdr:row>
      <xdr:rowOff>56880</xdr:rowOff>
    </xdr:from>
    <xdr:to>
      <xdr:col>12</xdr:col>
      <xdr:colOff>466200</xdr:colOff>
      <xdr:row>32</xdr:row>
      <xdr:rowOff>104400</xdr:rowOff>
    </xdr:to>
    <xdr:graphicFrame>
      <xdr:nvGraphicFramePr>
        <xdr:cNvPr id="22" name="Gráfico 2"/>
        <xdr:cNvGraphicFramePr/>
      </xdr:nvGraphicFramePr>
      <xdr:xfrm>
        <a:off x="5864760" y="4495680"/>
        <a:ext cx="4263480" cy="23335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19</xdr:col>
      <xdr:colOff>0</xdr:colOff>
      <xdr:row>20</xdr:row>
      <xdr:rowOff>0</xdr:rowOff>
    </xdr:from>
    <xdr:to>
      <xdr:col>24</xdr:col>
      <xdr:colOff>237600</xdr:colOff>
      <xdr:row>32</xdr:row>
      <xdr:rowOff>190080</xdr:rowOff>
    </xdr:to>
    <xdr:graphicFrame>
      <xdr:nvGraphicFramePr>
        <xdr:cNvPr id="23" name="Gráfico 2"/>
        <xdr:cNvGraphicFramePr/>
      </xdr:nvGraphicFramePr>
      <xdr:xfrm>
        <a:off x="15298560" y="4438800"/>
        <a:ext cx="4263480" cy="24760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12</xdr:col>
      <xdr:colOff>480240</xdr:colOff>
      <xdr:row>20</xdr:row>
      <xdr:rowOff>9360</xdr:rowOff>
    </xdr:from>
    <xdr:to>
      <xdr:col>12</xdr:col>
      <xdr:colOff>640080</xdr:colOff>
      <xdr:row>31</xdr:row>
      <xdr:rowOff>37800</xdr:rowOff>
    </xdr:to>
    <xdr:graphicFrame>
      <xdr:nvGraphicFramePr>
        <xdr:cNvPr id="24" name="Gráfico 2"/>
        <xdr:cNvGraphicFramePr/>
      </xdr:nvGraphicFramePr>
      <xdr:xfrm>
        <a:off x="480240" y="4495680"/>
        <a:ext cx="159840" cy="21240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twoCell">
    <xdr:from>
      <xdr:col>12</xdr:col>
      <xdr:colOff>162000</xdr:colOff>
      <xdr:row>13</xdr:row>
      <xdr:rowOff>123840</xdr:rowOff>
    </xdr:from>
    <xdr:to>
      <xdr:col>12</xdr:col>
      <xdr:colOff>533160</xdr:colOff>
      <xdr:row>15</xdr:row>
      <xdr:rowOff>9360</xdr:rowOff>
    </xdr:to>
    <xdr:sp>
      <xdr:nvSpPr>
        <xdr:cNvPr id="25" name="CuadroTexto 2"/>
        <xdr:cNvSpPr/>
      </xdr:nvSpPr>
      <xdr:spPr>
        <a:xfrm>
          <a:off x="162000" y="3191040"/>
          <a:ext cx="371160" cy="285480"/>
        </a:xfrm>
        <a:prstGeom prst="rect">
          <a:avLst/>
        </a:prstGeom>
        <a:solidFill>
          <a:srgbClr val="f8cbad"/>
        </a:solidFill>
        <a:ln w="9525">
          <a:solidFill>
            <a:srgbClr val="ffffff">
              <a:shade val="50000"/>
            </a:srgbClr>
          </a:solidFill>
          <a:round/>
        </a:ln>
      </xdr:spPr>
      <xdr:style>
        <a:lnRef idx="0"/>
        <a:fillRef idx="0"/>
        <a:effectRef idx="0"/>
        <a:fontRef idx="minor"/>
      </xdr:style>
      <xdr:txBody>
        <a:bodyPr horzOverflow="clip" vertOverflow="clip" anchor="t">
          <a:noAutofit/>
        </a:bodyPr>
        <a:p>
          <a:pPr>
            <a:lnSpc>
              <a:spcPct val="100000"/>
            </a:lnSpc>
            <a:tabLst>
              <a:tab algn="l" pos="0"/>
            </a:tabLst>
          </a:pPr>
          <a:r>
            <a:rPr b="0" lang="en-US" sz="1100" spc="-1" strike="noStrike">
              <a:latin typeface="Calibri"/>
              <a:ea typeface="Calibri"/>
            </a:rPr>
            <a:t>Eq. 18 del Groff et al 2022</a:t>
          </a:r>
          <a:endParaRPr b="0" lang="en-DK" sz="1100" spc="-1" strike="noStrike">
            <a:latin typeface="Times New Roman"/>
          </a:endParaRPr>
        </a:p>
      </xdr:txBody>
    </xdr:sp>
    <xdr:clientData/>
  </xdr:twoCellAnchor>
  <xdr:twoCellAnchor editAs="oneCell">
    <xdr:from>
      <xdr:col>20</xdr:col>
      <xdr:colOff>392040</xdr:colOff>
      <xdr:row>21</xdr:row>
      <xdr:rowOff>32760</xdr:rowOff>
    </xdr:from>
    <xdr:to>
      <xdr:col>25</xdr:col>
      <xdr:colOff>629640</xdr:colOff>
      <xdr:row>35</xdr:row>
      <xdr:rowOff>32400</xdr:rowOff>
    </xdr:to>
    <xdr:graphicFrame>
      <xdr:nvGraphicFramePr>
        <xdr:cNvPr id="26" name="Gráfico 2"/>
        <xdr:cNvGraphicFramePr/>
      </xdr:nvGraphicFramePr>
      <xdr:xfrm>
        <a:off x="6833520" y="4709520"/>
        <a:ext cx="4263480" cy="26665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twoCell">
    <xdr:from>
      <xdr:col>14</xdr:col>
      <xdr:colOff>401760</xdr:colOff>
      <xdr:row>14</xdr:row>
      <xdr:rowOff>55440</xdr:rowOff>
    </xdr:from>
    <xdr:to>
      <xdr:col>16</xdr:col>
      <xdr:colOff>772920</xdr:colOff>
      <xdr:row>15</xdr:row>
      <xdr:rowOff>134640</xdr:rowOff>
    </xdr:to>
    <xdr:sp>
      <xdr:nvSpPr>
        <xdr:cNvPr id="27" name="CuadroTexto 3"/>
        <xdr:cNvSpPr/>
      </xdr:nvSpPr>
      <xdr:spPr>
        <a:xfrm>
          <a:off x="2012040" y="3322440"/>
          <a:ext cx="1981440" cy="279360"/>
        </a:xfrm>
        <a:prstGeom prst="rect">
          <a:avLst/>
        </a:prstGeom>
        <a:solidFill>
          <a:srgbClr val="f8cbad"/>
        </a:solidFill>
        <a:ln w="9525">
          <a:solidFill>
            <a:srgbClr val="ffffff">
              <a:shade val="50000"/>
            </a:srgbClr>
          </a:solidFill>
          <a:round/>
        </a:ln>
      </xdr:spPr>
      <xdr:style>
        <a:lnRef idx="0"/>
        <a:fillRef idx="0"/>
        <a:effectRef idx="0"/>
        <a:fontRef idx="minor"/>
      </xdr:style>
      <xdr:txBody>
        <a:bodyPr horzOverflow="clip" vertOverflow="clip" anchor="t">
          <a:noAutofit/>
        </a:bodyPr>
        <a:p>
          <a:pPr>
            <a:lnSpc>
              <a:spcPct val="100000"/>
            </a:lnSpc>
            <a:tabLst>
              <a:tab algn="l" pos="0"/>
            </a:tabLst>
          </a:pPr>
          <a:r>
            <a:rPr b="0" lang="en-US" sz="1100" spc="-1" strike="noStrike">
              <a:latin typeface="Calibri"/>
              <a:ea typeface="Calibri"/>
            </a:rPr>
            <a:t>Eq. 18 del Groff et al 2022</a:t>
          </a:r>
          <a:endParaRPr b="0" lang="en-DK" sz="1100" spc="-1" strike="noStrike">
            <a:latin typeface="Times New Roman"/>
          </a:endParaRPr>
        </a:p>
      </xdr:txBody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7</xdr:col>
      <xdr:colOff>228600</xdr:colOff>
      <xdr:row>20</xdr:row>
      <xdr:rowOff>56880</xdr:rowOff>
    </xdr:from>
    <xdr:to>
      <xdr:col>12</xdr:col>
      <xdr:colOff>466200</xdr:colOff>
      <xdr:row>32</xdr:row>
      <xdr:rowOff>104400</xdr:rowOff>
    </xdr:to>
    <xdr:graphicFrame>
      <xdr:nvGraphicFramePr>
        <xdr:cNvPr id="28" name="Gráfico 2"/>
        <xdr:cNvGraphicFramePr/>
      </xdr:nvGraphicFramePr>
      <xdr:xfrm>
        <a:off x="5864760" y="4495680"/>
        <a:ext cx="4263480" cy="23335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19</xdr:col>
      <xdr:colOff>0</xdr:colOff>
      <xdr:row>20</xdr:row>
      <xdr:rowOff>0</xdr:rowOff>
    </xdr:from>
    <xdr:to>
      <xdr:col>24</xdr:col>
      <xdr:colOff>237600</xdr:colOff>
      <xdr:row>32</xdr:row>
      <xdr:rowOff>190080</xdr:rowOff>
    </xdr:to>
    <xdr:graphicFrame>
      <xdr:nvGraphicFramePr>
        <xdr:cNvPr id="29" name="Gráfico 2"/>
        <xdr:cNvGraphicFramePr/>
      </xdr:nvGraphicFramePr>
      <xdr:xfrm>
        <a:off x="15298560" y="4438800"/>
        <a:ext cx="4263480" cy="24760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12</xdr:col>
      <xdr:colOff>480240</xdr:colOff>
      <xdr:row>20</xdr:row>
      <xdr:rowOff>9360</xdr:rowOff>
    </xdr:from>
    <xdr:to>
      <xdr:col>12</xdr:col>
      <xdr:colOff>640080</xdr:colOff>
      <xdr:row>31</xdr:row>
      <xdr:rowOff>37800</xdr:rowOff>
    </xdr:to>
    <xdr:graphicFrame>
      <xdr:nvGraphicFramePr>
        <xdr:cNvPr id="30" name="Gráfico 2"/>
        <xdr:cNvGraphicFramePr/>
      </xdr:nvGraphicFramePr>
      <xdr:xfrm>
        <a:off x="480240" y="4495680"/>
        <a:ext cx="159840" cy="21240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twoCell">
    <xdr:from>
      <xdr:col>12</xdr:col>
      <xdr:colOff>162000</xdr:colOff>
      <xdr:row>13</xdr:row>
      <xdr:rowOff>123840</xdr:rowOff>
    </xdr:from>
    <xdr:to>
      <xdr:col>12</xdr:col>
      <xdr:colOff>533160</xdr:colOff>
      <xdr:row>15</xdr:row>
      <xdr:rowOff>9360</xdr:rowOff>
    </xdr:to>
    <xdr:sp>
      <xdr:nvSpPr>
        <xdr:cNvPr id="31" name="CuadroTexto 2"/>
        <xdr:cNvSpPr/>
      </xdr:nvSpPr>
      <xdr:spPr>
        <a:xfrm>
          <a:off x="162000" y="3191040"/>
          <a:ext cx="371160" cy="285480"/>
        </a:xfrm>
        <a:prstGeom prst="rect">
          <a:avLst/>
        </a:prstGeom>
        <a:solidFill>
          <a:srgbClr val="f8cbad"/>
        </a:solidFill>
        <a:ln w="9525">
          <a:solidFill>
            <a:srgbClr val="ffffff">
              <a:shade val="50000"/>
            </a:srgbClr>
          </a:solidFill>
          <a:round/>
        </a:ln>
      </xdr:spPr>
      <xdr:style>
        <a:lnRef idx="0"/>
        <a:fillRef idx="0"/>
        <a:effectRef idx="0"/>
        <a:fontRef idx="minor"/>
      </xdr:style>
      <xdr:txBody>
        <a:bodyPr horzOverflow="clip" vertOverflow="clip" anchor="t">
          <a:noAutofit/>
        </a:bodyPr>
        <a:p>
          <a:pPr>
            <a:lnSpc>
              <a:spcPct val="100000"/>
            </a:lnSpc>
            <a:tabLst>
              <a:tab algn="l" pos="0"/>
            </a:tabLst>
          </a:pPr>
          <a:r>
            <a:rPr b="0" lang="en-US" sz="1100" spc="-1" strike="noStrike">
              <a:latin typeface="Calibri"/>
              <a:ea typeface="Calibri"/>
            </a:rPr>
            <a:t>Eq. 18 del Groff et al 2022</a:t>
          </a:r>
          <a:endParaRPr b="0" lang="en-DK" sz="1100" spc="-1" strike="noStrike">
            <a:latin typeface="Times New Roman"/>
          </a:endParaRPr>
        </a:p>
      </xdr:txBody>
    </xdr:sp>
    <xdr:clientData/>
  </xdr:twoCellAnchor>
  <xdr:twoCellAnchor editAs="oneCell">
    <xdr:from>
      <xdr:col>20</xdr:col>
      <xdr:colOff>392040</xdr:colOff>
      <xdr:row>21</xdr:row>
      <xdr:rowOff>32760</xdr:rowOff>
    </xdr:from>
    <xdr:to>
      <xdr:col>25</xdr:col>
      <xdr:colOff>629640</xdr:colOff>
      <xdr:row>35</xdr:row>
      <xdr:rowOff>32400</xdr:rowOff>
    </xdr:to>
    <xdr:graphicFrame>
      <xdr:nvGraphicFramePr>
        <xdr:cNvPr id="32" name="Gráfico 2"/>
        <xdr:cNvGraphicFramePr/>
      </xdr:nvGraphicFramePr>
      <xdr:xfrm>
        <a:off x="6833520" y="4709520"/>
        <a:ext cx="4263480" cy="26665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twoCell">
    <xdr:from>
      <xdr:col>14</xdr:col>
      <xdr:colOff>401760</xdr:colOff>
      <xdr:row>14</xdr:row>
      <xdr:rowOff>55440</xdr:rowOff>
    </xdr:from>
    <xdr:to>
      <xdr:col>16</xdr:col>
      <xdr:colOff>772920</xdr:colOff>
      <xdr:row>15</xdr:row>
      <xdr:rowOff>134640</xdr:rowOff>
    </xdr:to>
    <xdr:sp>
      <xdr:nvSpPr>
        <xdr:cNvPr id="33" name="CuadroTexto 3"/>
        <xdr:cNvSpPr/>
      </xdr:nvSpPr>
      <xdr:spPr>
        <a:xfrm>
          <a:off x="2012040" y="3322440"/>
          <a:ext cx="1981440" cy="279360"/>
        </a:xfrm>
        <a:prstGeom prst="rect">
          <a:avLst/>
        </a:prstGeom>
        <a:solidFill>
          <a:srgbClr val="f8cbad"/>
        </a:solidFill>
        <a:ln w="9525">
          <a:solidFill>
            <a:srgbClr val="ffffff">
              <a:shade val="50000"/>
            </a:srgbClr>
          </a:solidFill>
          <a:round/>
        </a:ln>
      </xdr:spPr>
      <xdr:style>
        <a:lnRef idx="0"/>
        <a:fillRef idx="0"/>
        <a:effectRef idx="0"/>
        <a:fontRef idx="minor"/>
      </xdr:style>
      <xdr:txBody>
        <a:bodyPr horzOverflow="clip" vertOverflow="clip" anchor="t">
          <a:noAutofit/>
        </a:bodyPr>
        <a:p>
          <a:pPr>
            <a:lnSpc>
              <a:spcPct val="100000"/>
            </a:lnSpc>
            <a:tabLst>
              <a:tab algn="l" pos="0"/>
            </a:tabLst>
          </a:pPr>
          <a:r>
            <a:rPr b="0" lang="en-US" sz="1100" spc="-1" strike="noStrike">
              <a:latin typeface="Calibri"/>
              <a:ea typeface="Calibri"/>
            </a:rPr>
            <a:t>Eq. 18 del Groff et al 2022</a:t>
          </a:r>
          <a:endParaRPr b="0" lang="en-DK" sz="1100" spc="-1" strike="noStrike">
            <a:latin typeface="Times New Roman"/>
          </a:endParaRPr>
        </a:p>
      </xdr:txBody>
    </xdr:sp>
    <xdr:clientData/>
  </xdr:twoCellAnchor>
</xdr:wsDr>
</file>

<file path=xl/externalLinks/_rels/externalLink1.xml.rels><?xml version="1.0" encoding="UTF-8"?>
<Relationships xmlns="http://schemas.openxmlformats.org/package/2006/relationships"><Relationship Id="rId1" Type="http://schemas.openxmlformats.org/officeDocument/2006/relationships/externalLinkPath" Target="LA_production_model_template.xlsx" TargetMode="External"/>
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GR_log"/>
      <sheetName val="LA_prod"/>
    </sheetNames>
    <sheetDataSet>
      <sheetData sheetId="0"/>
      <sheetData sheetId="1"/>
    </sheetDataSet>
  </externalBook>
</externalLink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7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8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drawing" Target="../drawings/drawing9.x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drawing" Target="../drawings/drawing10.xml"/>
</Relationships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drawing" Target="../drawings/drawing1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3:AA66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L37" activeCellId="0" sqref="L37"/>
    </sheetView>
  </sheetViews>
  <sheetFormatPr defaultColWidth="11.42578125" defaultRowHeight="15" zeroHeight="false" outlineLevelRow="0" outlineLevelCol="0"/>
  <sheetData>
    <row r="3" customFormat="false" ht="45.75" hidden="false" customHeight="false" outlineLevel="0" collapsed="false">
      <c r="C3" s="1"/>
    </row>
    <row r="4" customFormat="false" ht="15.75" hidden="false" customHeight="false" outlineLevel="0" collapsed="false">
      <c r="C4" s="2" t="s">
        <v>0</v>
      </c>
      <c r="D4" s="3"/>
      <c r="E4" s="3"/>
      <c r="F4" s="4"/>
      <c r="G4" s="4"/>
      <c r="H4" s="4"/>
      <c r="I4" s="4"/>
      <c r="J4" s="4"/>
      <c r="K4" s="4"/>
      <c r="L4" s="4"/>
      <c r="M4" s="5"/>
      <c r="N4" s="6"/>
      <c r="O4" s="4"/>
      <c r="P4" s="4"/>
      <c r="Q4" s="4"/>
      <c r="R4" s="4"/>
      <c r="S4" s="4"/>
      <c r="T4" s="4"/>
      <c r="U4" s="4"/>
      <c r="V4" s="4"/>
      <c r="W4" s="4"/>
      <c r="X4" s="4"/>
      <c r="Y4" s="5"/>
    </row>
    <row r="5" customFormat="false" ht="16.5" hidden="false" customHeight="false" outlineLevel="0" collapsed="false">
      <c r="C5" s="7" t="s">
        <v>1</v>
      </c>
      <c r="D5" s="8"/>
      <c r="E5" s="8"/>
      <c r="H5" s="9" t="s">
        <v>2</v>
      </c>
      <c r="L5" s="9" t="s">
        <v>3</v>
      </c>
      <c r="M5" s="10"/>
      <c r="N5" s="7" t="s">
        <v>4</v>
      </c>
      <c r="T5" s="8"/>
      <c r="U5" s="9" t="s">
        <v>2</v>
      </c>
      <c r="W5" s="9" t="s">
        <v>5</v>
      </c>
      <c r="Y5" s="10"/>
    </row>
    <row r="6" customFormat="false" ht="17.25" hidden="false" customHeight="false" outlineLevel="0" collapsed="false">
      <c r="C6" s="11" t="s">
        <v>6</v>
      </c>
      <c r="D6" s="12" t="s">
        <v>7</v>
      </c>
      <c r="E6" s="13"/>
      <c r="F6" s="14"/>
      <c r="G6" s="14"/>
      <c r="H6" s="15" t="n">
        <f aca="false">COUNT(G21:G36)</f>
        <v>12</v>
      </c>
      <c r="M6" s="10"/>
      <c r="N6" s="16"/>
      <c r="O6" s="12" t="s">
        <v>8</v>
      </c>
      <c r="P6" s="14"/>
      <c r="Q6" s="12"/>
      <c r="R6" s="12"/>
      <c r="S6" s="14"/>
      <c r="T6" s="8"/>
      <c r="U6" s="15" t="n">
        <f aca="false">COUNT(R21:R57)</f>
        <v>12</v>
      </c>
      <c r="Y6" s="10"/>
    </row>
    <row r="7" customFormat="false" ht="17.25" hidden="false" customHeight="false" outlineLevel="0" collapsed="false">
      <c r="C7" s="11" t="s">
        <v>9</v>
      </c>
      <c r="D7" s="12" t="s">
        <v>10</v>
      </c>
      <c r="E7" s="13"/>
      <c r="F7" s="14"/>
      <c r="G7" s="14"/>
      <c r="H7" s="9" t="s">
        <v>11</v>
      </c>
      <c r="M7" s="10"/>
      <c r="N7" s="16"/>
      <c r="U7" s="9" t="s">
        <v>11</v>
      </c>
      <c r="Y7" s="10"/>
    </row>
    <row r="8" customFormat="false" ht="15.75" hidden="false" customHeight="false" outlineLevel="0" collapsed="false">
      <c r="C8" s="16"/>
      <c r="F8" s="17"/>
      <c r="G8" s="17"/>
      <c r="H8" s="15" t="n">
        <f aca="false">COUNT(D10:D13)</f>
        <v>4</v>
      </c>
      <c r="M8" s="10"/>
      <c r="N8" s="16"/>
      <c r="U8" s="15" t="n">
        <f aca="false">COUNT(O11:O13)</f>
        <v>3</v>
      </c>
      <c r="Y8" s="10"/>
    </row>
    <row r="9" customFormat="false" ht="15.75" hidden="false" customHeight="false" outlineLevel="0" collapsed="false">
      <c r="C9" s="18" t="s">
        <v>12</v>
      </c>
      <c r="H9" s="19" t="s">
        <v>13</v>
      </c>
      <c r="M9" s="10"/>
      <c r="N9" s="18" t="s">
        <v>12</v>
      </c>
      <c r="Q9" s="8"/>
      <c r="U9" s="19" t="s">
        <v>13</v>
      </c>
      <c r="Y9" s="10"/>
    </row>
    <row r="10" customFormat="false" ht="15.75" hidden="false" customHeight="false" outlineLevel="0" collapsed="false">
      <c r="C10" s="20" t="s">
        <v>14</v>
      </c>
      <c r="D10" s="21" t="n">
        <v>0</v>
      </c>
      <c r="E10" s="22" t="s">
        <v>15</v>
      </c>
      <c r="H10" s="23" t="n">
        <f aca="false">E11/(H6-H8)</f>
        <v>0.0111474542081001</v>
      </c>
      <c r="M10" s="10"/>
      <c r="N10" s="20" t="s">
        <v>16</v>
      </c>
      <c r="O10" s="24" t="n">
        <v>0</v>
      </c>
      <c r="P10" s="22" t="s">
        <v>15</v>
      </c>
      <c r="U10" s="23" t="n">
        <f aca="false">P11/(U6-U8)</f>
        <v>0.00990884818498799</v>
      </c>
      <c r="Y10" s="10"/>
    </row>
    <row r="11" customFormat="false" ht="17.25" hidden="false" customHeight="false" outlineLevel="0" collapsed="false">
      <c r="C11" s="25" t="s">
        <v>17</v>
      </c>
      <c r="D11" s="26" t="n">
        <v>4.8577613975078</v>
      </c>
      <c r="E11" s="27" t="n">
        <f aca="false">SUM(G21:G57)</f>
        <v>0.0891796336648011</v>
      </c>
      <c r="H11" s="28"/>
      <c r="M11" s="10"/>
      <c r="N11" s="25" t="s">
        <v>17</v>
      </c>
      <c r="O11" s="26" t="n">
        <v>4.85776139456691</v>
      </c>
      <c r="P11" s="27" t="n">
        <f aca="false">SUM(R21:R57)</f>
        <v>0.0891796336648919</v>
      </c>
      <c r="U11" s="28"/>
      <c r="Y11" s="10"/>
    </row>
    <row r="12" customFormat="false" ht="17.25" hidden="false" customHeight="false" outlineLevel="0" collapsed="false">
      <c r="C12" s="25" t="s">
        <v>18</v>
      </c>
      <c r="D12" s="26" t="n">
        <v>0.39835827823049</v>
      </c>
      <c r="E12" s="22" t="s">
        <v>19</v>
      </c>
      <c r="H12" s="19" t="s">
        <v>20</v>
      </c>
      <c r="J12" s="9" t="s">
        <v>21</v>
      </c>
      <c r="M12" s="10"/>
      <c r="N12" s="25" t="s">
        <v>22</v>
      </c>
      <c r="O12" s="26" t="n">
        <v>0.398358279834526</v>
      </c>
      <c r="P12" s="22" t="s">
        <v>19</v>
      </c>
      <c r="U12" s="19" t="s">
        <v>20</v>
      </c>
      <c r="W12" s="9" t="s">
        <v>21</v>
      </c>
      <c r="Y12" s="10"/>
    </row>
    <row r="13" customFormat="false" ht="17.25" hidden="false" customHeight="false" outlineLevel="0" collapsed="false">
      <c r="C13" s="29" t="s">
        <v>23</v>
      </c>
      <c r="D13" s="30" t="n">
        <v>8.3356029131571</v>
      </c>
      <c r="E13" s="31" t="n">
        <f aca="false">SQRT(E11/(COUNT(G21:G57)-H8))</f>
        <v>0.105581505047523</v>
      </c>
      <c r="H13" s="23" t="n">
        <f aca="false">1-E11/J13</f>
        <v>0.995445887998074</v>
      </c>
      <c r="J13" s="23" t="n">
        <f aca="false">E58</f>
        <v>19.5822223140496</v>
      </c>
      <c r="M13" s="10"/>
      <c r="N13" s="29" t="s">
        <v>23</v>
      </c>
      <c r="O13" s="30" t="n">
        <v>8.33560291182196</v>
      </c>
      <c r="P13" s="32" t="n">
        <f aca="false">SQRT(P11/(COUNT(R21:R57)-U8))</f>
        <v>0.0995431975826977</v>
      </c>
      <c r="U13" s="23" t="n">
        <f aca="false">1-P11/W13</f>
        <v>0.995445887998069</v>
      </c>
      <c r="W13" s="23" t="n">
        <f aca="false">P58</f>
        <v>19.5822223140496</v>
      </c>
      <c r="Y13" s="10"/>
    </row>
    <row r="14" customFormat="false" ht="15.75" hidden="false" customHeight="false" outlineLevel="0" collapsed="false">
      <c r="C14" s="16" t="s">
        <v>24</v>
      </c>
      <c r="F14" s="33"/>
      <c r="G14" s="34"/>
      <c r="H14" s="19" t="s">
        <v>25</v>
      </c>
      <c r="M14" s="10"/>
      <c r="N14" s="16"/>
      <c r="U14" s="19" t="s">
        <v>25</v>
      </c>
      <c r="Y14" s="10"/>
    </row>
    <row r="15" customFormat="false" ht="15.75" hidden="false" customHeight="false" outlineLevel="0" collapsed="false">
      <c r="C15" s="16"/>
      <c r="F15" s="33"/>
      <c r="G15" s="34"/>
      <c r="H15" s="23" t="n">
        <f aca="false">(((H6-1)*H13)-(H8+1))/(H6-H8)</f>
        <v>0.743738095997351</v>
      </c>
      <c r="M15" s="10"/>
      <c r="N15" s="16"/>
      <c r="U15" s="23" t="n">
        <f aca="false">(((U6-1)*U13)-(U8+1))/(U6-U8)</f>
        <v>0.772211640886529</v>
      </c>
      <c r="Y15" s="10"/>
    </row>
    <row r="16" customFormat="false" ht="15.75" hidden="false" customHeight="false" outlineLevel="0" collapsed="false">
      <c r="C16" s="16"/>
      <c r="F16" s="33"/>
      <c r="G16" s="34"/>
      <c r="I16" s="35" t="s">
        <v>26</v>
      </c>
      <c r="J16" s="36"/>
      <c r="M16" s="10"/>
      <c r="N16" s="16"/>
      <c r="V16" s="35" t="s">
        <v>26</v>
      </c>
      <c r="W16" s="36"/>
      <c r="Y16" s="10"/>
    </row>
    <row r="17" customFormat="false" ht="15.75" hidden="false" customHeight="false" outlineLevel="0" collapsed="false">
      <c r="C17" s="16"/>
      <c r="F17" s="33"/>
      <c r="G17" s="34"/>
      <c r="I17" s="23" t="n">
        <f aca="false">1-(1-H13)*((H6-1)/(H6-(H8-1)-1))</f>
        <v>0.993738095997351</v>
      </c>
      <c r="M17" s="10"/>
      <c r="N17" s="16"/>
      <c r="V17" s="23" t="n">
        <f aca="false">1-(1-U13)*((U6-1)/(U6-(U8-1)-1))</f>
        <v>0.994433863108751</v>
      </c>
      <c r="Y17" s="10"/>
    </row>
    <row r="18" customFormat="false" ht="15" hidden="false" customHeight="false" outlineLevel="0" collapsed="false">
      <c r="C18" s="16"/>
      <c r="F18" s="33"/>
      <c r="G18" s="34"/>
      <c r="H18" s="17"/>
      <c r="I18" s="8"/>
      <c r="M18" s="10"/>
      <c r="N18" s="16"/>
      <c r="Y18" s="10"/>
    </row>
    <row r="19" customFormat="false" ht="15" hidden="false" customHeight="false" outlineLevel="0" collapsed="false">
      <c r="C19" s="18" t="s">
        <v>27</v>
      </c>
      <c r="F19" s="37" t="s">
        <v>28</v>
      </c>
      <c r="I19" s="37" t="s">
        <v>29</v>
      </c>
      <c r="M19" s="10"/>
      <c r="N19" s="18" t="s">
        <v>27</v>
      </c>
      <c r="Q19" s="37" t="s">
        <v>28</v>
      </c>
      <c r="T19" s="37" t="s">
        <v>29</v>
      </c>
      <c r="Y19" s="10"/>
    </row>
    <row r="20" customFormat="false" ht="15" hidden="false" customHeight="false" outlineLevel="0" collapsed="false">
      <c r="A20" s="0" t="s">
        <v>30</v>
      </c>
      <c r="B20" s="0" t="s">
        <v>31</v>
      </c>
      <c r="C20" s="38" t="s">
        <v>32</v>
      </c>
      <c r="D20" s="39" t="s">
        <v>33</v>
      </c>
      <c r="E20" s="40" t="s">
        <v>34</v>
      </c>
      <c r="F20" s="40" t="s">
        <v>33</v>
      </c>
      <c r="G20" s="40" t="s">
        <v>35</v>
      </c>
      <c r="M20" s="10"/>
      <c r="N20" s="41" t="s">
        <v>36</v>
      </c>
      <c r="O20" s="39" t="s">
        <v>33</v>
      </c>
      <c r="P20" s="40" t="s">
        <v>34</v>
      </c>
      <c r="Q20" s="40" t="s">
        <v>33</v>
      </c>
      <c r="R20" s="40" t="s">
        <v>35</v>
      </c>
      <c r="Y20" s="10"/>
      <c r="Z20" s="42" t="n">
        <v>1</v>
      </c>
      <c r="AA20" s="42" t="n">
        <v>5.27875360095283</v>
      </c>
    </row>
    <row r="21" customFormat="false" ht="15" hidden="false" customHeight="false" outlineLevel="0" collapsed="false">
      <c r="A21" s="0" t="n">
        <f aca="false">B21/D21</f>
        <v>0</v>
      </c>
      <c r="B21" s="0" t="n">
        <v>0</v>
      </c>
      <c r="C21" s="43" t="n">
        <v>1</v>
      </c>
      <c r="D21" s="44" t="s">
        <v>37</v>
      </c>
      <c r="E21" s="45" t="n">
        <f aca="false">(D21-AVERAGE(D$21:D$57))^2</f>
        <v>6.48396776859504</v>
      </c>
      <c r="F21" s="46" t="n">
        <f aca="false">IF(C21&lt;$D$10,$D$11,LOG((10^$D$13)/(1+((10^$D$13/10^$D$11)-1)*EXP(-$D$12*(C21-$D$10)))))</f>
        <v>5.03069547806221</v>
      </c>
      <c r="G21" s="28" t="n">
        <f aca="false">(D21-F21)^2</f>
        <v>0.00165612193471136</v>
      </c>
      <c r="M21" s="10"/>
      <c r="N21" s="43" t="n">
        <v>1</v>
      </c>
      <c r="O21" s="44" t="s">
        <v>37</v>
      </c>
      <c r="P21" s="45" t="n">
        <f aca="false">(O21-AVERAGE(O$21:O$57))^2</f>
        <v>6.48396776859504</v>
      </c>
      <c r="Q21" s="46" t="n">
        <f aca="false">IF(N21&lt;O$10,O$11,LOG((10^O$13)/(1+((10^O$13/10^O$11)-1)*EXP(-O$12*(N21-O$10)))))</f>
        <v>5.03069547581786</v>
      </c>
      <c r="R21" s="28" t="n">
        <f aca="false">(O21-Q21)^2</f>
        <v>0.0016561217520419</v>
      </c>
      <c r="Y21" s="10"/>
      <c r="Z21" s="42" t="n">
        <v>3.00000000005821</v>
      </c>
      <c r="AA21" s="47"/>
    </row>
    <row r="22" customFormat="false" ht="15" hidden="false" customHeight="false" outlineLevel="0" collapsed="false">
      <c r="A22" s="0" t="n">
        <f aca="false">B22/D22</f>
        <v>0</v>
      </c>
      <c r="B22" s="0" t="n">
        <v>0</v>
      </c>
      <c r="C22" s="43" t="n">
        <v>3</v>
      </c>
      <c r="D22" s="44" t="n">
        <v>5.4</v>
      </c>
      <c r="E22" s="45" t="n">
        <f aca="false">(D22-AVERAGE(D$21:D$57))^2</f>
        <v>4.56404958677686</v>
      </c>
      <c r="F22" s="46" t="n">
        <f aca="false">IF(C22&lt;$D$10,$D$11,LOG((10^$D$13)/(1+((10^$D$13/10^$D$11)-1)*EXP(-$D$12*(C22-$D$10)))))</f>
        <v>5.37644297396561</v>
      </c>
      <c r="G22" s="28" t="n">
        <f aca="false">(D22-F22)^2</f>
        <v>0.000554933475584762</v>
      </c>
      <c r="M22" s="10"/>
      <c r="N22" s="43" t="n">
        <v>3</v>
      </c>
      <c r="O22" s="44" t="n">
        <v>5.4</v>
      </c>
      <c r="P22" s="45" t="n">
        <f aca="false">(O22-AVERAGE(O$21:O$57))^2</f>
        <v>4.56404958677686</v>
      </c>
      <c r="Q22" s="46" t="n">
        <f aca="false">IF(N22&lt;O$10,O$11,LOG((10^O$13)/(1+((10^O$13/10^O$11)-1)*EXP(-O$12*(N22-O$10)))))</f>
        <v>5.37644297311353</v>
      </c>
      <c r="R22" s="28" t="n">
        <f aca="false">(O22-Q22)^2</f>
        <v>0.000554933515729755</v>
      </c>
      <c r="Y22" s="10"/>
      <c r="Z22" s="42" t="n">
        <v>6.00000000005821</v>
      </c>
      <c r="AA22" s="47"/>
    </row>
    <row r="23" customFormat="false" ht="15" hidden="false" customHeight="false" outlineLevel="0" collapsed="false">
      <c r="A23" s="0" t="n">
        <f aca="false">B23/D23</f>
        <v>0</v>
      </c>
      <c r="B23" s="0" t="n">
        <v>0</v>
      </c>
      <c r="C23" s="43" t="n">
        <v>6</v>
      </c>
      <c r="D23" s="44" t="n">
        <v>6</v>
      </c>
      <c r="E23" s="45" t="n">
        <f aca="false">(D23-AVERAGE(D$21:D$57))^2</f>
        <v>2.3604132231405</v>
      </c>
      <c r="F23" s="46" t="n">
        <f aca="false">IF(C23&lt;$D$10,$D$11,LOG((10^$D$13)/(1+((10^$D$13/10^$D$11)-1)*EXP(-$D$12*(C23-$D$10)))))</f>
        <v>5.89435958556991</v>
      </c>
      <c r="G23" s="28" t="n">
        <f aca="false">(D23-F23)^2</f>
        <v>0.0111598971609603</v>
      </c>
      <c r="M23" s="10"/>
      <c r="N23" s="43" t="n">
        <v>6</v>
      </c>
      <c r="O23" s="44" t="n">
        <v>6</v>
      </c>
      <c r="P23" s="45" t="n">
        <f aca="false">(O23-AVERAGE(O$21:O$57))^2</f>
        <v>2.3604132231405</v>
      </c>
      <c r="Q23" s="46" t="n">
        <f aca="false">IF(N23&lt;O$10,O$11,LOG((10^O$13)/(1+((10^O$13/10^O$11)-1)*EXP(-O$12*(N23-O$10)))))</f>
        <v>5.89435958679892</v>
      </c>
      <c r="R23" s="28" t="n">
        <f aca="false">(O23-Q23)^2</f>
        <v>0.0111598969012951</v>
      </c>
      <c r="Y23" s="10"/>
      <c r="Z23" s="42" t="n">
        <v>9.00000000005821</v>
      </c>
      <c r="AA23" s="47"/>
    </row>
    <row r="24" customFormat="false" ht="15" hidden="false" customHeight="false" outlineLevel="0" collapsed="false">
      <c r="A24" s="0" t="n">
        <f aca="false">B24/D24</f>
        <v>0</v>
      </c>
      <c r="B24" s="0" t="n">
        <v>0</v>
      </c>
      <c r="C24" s="43" t="n">
        <v>9</v>
      </c>
      <c r="D24" s="44" t="n">
        <v>6.4</v>
      </c>
      <c r="E24" s="45" t="n">
        <f aca="false">(D24-AVERAGE(D$21:D$57))^2</f>
        <v>1.29132231404959</v>
      </c>
      <c r="F24" s="46" t="n">
        <f aca="false">IF(C24&lt;$D$10,$D$11,LOG((10^$D$13)/(1+((10^$D$13/10^$D$11)-1)*EXP(-$D$12*(C24-$D$10)))))</f>
        <v>6.40976669554224</v>
      </c>
      <c r="G24" s="28" t="n">
        <f aca="false">(D24-F24)^2</f>
        <v>9.53883418147363E-005</v>
      </c>
      <c r="M24" s="10"/>
      <c r="N24" s="43" t="n">
        <v>9</v>
      </c>
      <c r="O24" s="44" t="n">
        <v>6.4</v>
      </c>
      <c r="P24" s="45" t="n">
        <f aca="false">(O24-AVERAGE(O$21:O$57))^2</f>
        <v>1.29132231404959</v>
      </c>
      <c r="Q24" s="46" t="n">
        <f aca="false">IF(N24&lt;O$10,O$11,LOG((10^O$13)/(1+((10^O$13/10^O$11)-1)*EXP(-O$12*(N24-O$10)))))</f>
        <v>6.40976669881511</v>
      </c>
      <c r="R24" s="28" t="n">
        <f aca="false">(O24-Q24)^2</f>
        <v>9.5388405745135E-005</v>
      </c>
      <c r="Y24" s="10"/>
      <c r="Z24" s="42" t="n">
        <v>12.1666666667443</v>
      </c>
      <c r="AA24" s="42" t="n">
        <v>6.94448267215017</v>
      </c>
    </row>
    <row r="25" customFormat="false" ht="15" hidden="false" customHeight="false" outlineLevel="0" collapsed="false">
      <c r="A25" s="0" t="n">
        <f aca="false">B25/D25</f>
        <v>0</v>
      </c>
      <c r="B25" s="0" t="n">
        <v>0</v>
      </c>
      <c r="C25" s="43" t="n">
        <v>12.17</v>
      </c>
      <c r="D25" s="44" t="n">
        <v>6.83</v>
      </c>
      <c r="E25" s="45" t="n">
        <f aca="false">(D25-AVERAGE(D$21:D$57))^2</f>
        <v>0.49894958677686</v>
      </c>
      <c r="F25" s="46" t="n">
        <f aca="false">IF(C25&lt;$D$10,$D$11,LOG((10^$D$13)/(1+((10^$D$13/10^$D$11)-1)*EXP(-$D$12*(C25-$D$10)))))</f>
        <v>6.94532347877272</v>
      </c>
      <c r="G25" s="28" t="n">
        <f aca="false">(D25-F25)^2</f>
        <v>0.0132995047562425</v>
      </c>
      <c r="M25" s="10"/>
      <c r="N25" s="43" t="n">
        <v>12.17</v>
      </c>
      <c r="O25" s="44" t="n">
        <v>6.83</v>
      </c>
      <c r="P25" s="45" t="n">
        <f aca="false">(O25-AVERAGE(O$21:O$57))^2</f>
        <v>0.49894958677686</v>
      </c>
      <c r="Q25" s="46" t="n">
        <f aca="false">IF(N25&lt;O$10,O$11,LOG((10^O$13)/(1+((10^O$13/10^O$11)-1)*EXP(-O$12*(N25-O$10)))))</f>
        <v>6.94532348402946</v>
      </c>
      <c r="R25" s="28" t="n">
        <f aca="false">(O25-Q25)^2</f>
        <v>0.0132995059686927</v>
      </c>
      <c r="Y25" s="10"/>
      <c r="Z25" s="42" t="n">
        <v>24.1666666667443</v>
      </c>
      <c r="AA25" s="42"/>
    </row>
    <row r="26" customFormat="false" ht="15" hidden="false" customHeight="false" outlineLevel="0" collapsed="false">
      <c r="A26" s="0" t="e">
        <f aca="false">B26/#REF!</f>
        <v>#REF!</v>
      </c>
      <c r="B26" s="0" t="n">
        <v>2.25579422279125</v>
      </c>
      <c r="C26" s="43" t="n">
        <v>24.17</v>
      </c>
      <c r="D26" s="44" t="n">
        <v>8.46</v>
      </c>
      <c r="E26" s="45" t="n">
        <f aca="false">(D26-AVERAGE(D$21:D$57))^2</f>
        <v>0.853104132231405</v>
      </c>
      <c r="F26" s="46" t="n">
        <f aca="false">IF(C26&lt;$D$10,$D$11,LOG((10^$D$13)/(1+((10^$D$13/10^$D$11)-1)*EXP(-$D$12*(C26-$D$10)))))</f>
        <v>8.25722775019816</v>
      </c>
      <c r="G26" s="28" t="n">
        <f aca="false">(D26-F26)^2</f>
        <v>0.0411165852896987</v>
      </c>
      <c r="M26" s="10"/>
      <c r="N26" s="43" t="n">
        <v>24.17</v>
      </c>
      <c r="O26" s="44" t="n">
        <v>8.46</v>
      </c>
      <c r="P26" s="45" t="n">
        <f aca="false">(O26-AVERAGE(O$21:O$57))^2</f>
        <v>0.853104132231405</v>
      </c>
      <c r="Q26" s="46" t="n">
        <f aca="false">IF(N26&lt;O$10,O$11,LOG((10^O$13)/(1+((10^O$13/10^O$11)-1)*EXP(-O$12*(N26-O$10)))))</f>
        <v>8.25722775137797</v>
      </c>
      <c r="R26" s="28" t="n">
        <f aca="false">(O26-Q26)^2</f>
        <v>0.0411165848112362</v>
      </c>
      <c r="Y26" s="10"/>
      <c r="Z26" s="42" t="n">
        <v>27.0833333333139</v>
      </c>
      <c r="AA26" s="47"/>
    </row>
    <row r="27" customFormat="false" ht="15" hidden="false" customHeight="false" outlineLevel="0" collapsed="false">
      <c r="A27" s="0" t="e">
        <f aca="false">B27/#REF!</f>
        <v>#REF!</v>
      </c>
      <c r="B27" s="0" t="n">
        <v>0.311093742376794</v>
      </c>
      <c r="C27" s="43" t="n">
        <v>27.08</v>
      </c>
      <c r="D27" s="44" t="n">
        <v>8.3</v>
      </c>
      <c r="E27" s="45" t="n">
        <f aca="false">(D27-AVERAGE(D$21:D$57))^2</f>
        <v>0.583140495867769</v>
      </c>
      <c r="F27" s="46" t="n">
        <f aca="false">IF(C27&lt;$D$10,$D$11,LOG((10^$D$13)/(1+((10^$D$13/10^$D$11)-1)*EXP(-$D$12*(C27-$D$10)))))</f>
        <v>8.3094588179942</v>
      </c>
      <c r="G27" s="28" t="n">
        <f aca="false">(D27-F27)^2</f>
        <v>8.94692378474502E-005</v>
      </c>
      <c r="M27" s="10"/>
      <c r="N27" s="43" t="n">
        <v>27.08</v>
      </c>
      <c r="O27" s="44" t="n">
        <v>8.3</v>
      </c>
      <c r="P27" s="45" t="n">
        <f aca="false">(O27-AVERAGE(O$21:O$57))^2</f>
        <v>0.583140495867769</v>
      </c>
      <c r="Q27" s="46" t="n">
        <f aca="false">IF(N27&lt;O$10,O$11,LOG((10^O$13)/(1+((10^O$13/10^O$11)-1)*EXP(-O$12*(N27-O$10)))))</f>
        <v>8.30945881766734</v>
      </c>
      <c r="R27" s="28" t="n">
        <f aca="false">(O27-Q27)^2</f>
        <v>8.94692316640258E-005</v>
      </c>
      <c r="Y27" s="10"/>
      <c r="Z27" s="42" t="n">
        <v>30.0833333333139</v>
      </c>
      <c r="AA27" s="47"/>
    </row>
    <row r="28" customFormat="false" ht="15" hidden="false" customHeight="false" outlineLevel="0" collapsed="false">
      <c r="A28" s="0" t="e">
        <f aca="false">B28/#REF!</f>
        <v>#REF!</v>
      </c>
      <c r="B28" s="0" t="n">
        <v>2.3684216637419</v>
      </c>
      <c r="C28" s="43" t="n">
        <v>30.08</v>
      </c>
      <c r="D28" s="44" t="n">
        <v>8.29</v>
      </c>
      <c r="E28" s="45" t="n">
        <f aca="false">(D28-AVERAGE(D$21:D$57))^2</f>
        <v>0.567967768595039</v>
      </c>
      <c r="F28" s="46" t="n">
        <f aca="false">IF(C28&lt;$D$10,$D$11,LOG((10^$D$13)/(1+((10^$D$13/10^$D$11)-1)*EXP(-$D$12*(C28-$D$10)))))</f>
        <v>8.32752219041383</v>
      </c>
      <c r="G28" s="28" t="n">
        <f aca="false">(D28-F28)^2</f>
        <v>0.00140791477345196</v>
      </c>
      <c r="M28" s="10"/>
      <c r="N28" s="43" t="n">
        <v>30.08</v>
      </c>
      <c r="O28" s="44" t="n">
        <v>8.29</v>
      </c>
      <c r="P28" s="45" t="n">
        <f aca="false">(O28-AVERAGE(O$21:O$57))^2</f>
        <v>0.567967768595039</v>
      </c>
      <c r="Q28" s="46" t="n">
        <f aca="false">IF(N28&lt;O$10,O$11,LOG((10^O$13)/(1+((10^O$13/10^O$11)-1)*EXP(-O$12*(N28-O$10)))))</f>
        <v>8.32752218943537</v>
      </c>
      <c r="R28" s="28" t="n">
        <f aca="false">(O28-Q28)^2</f>
        <v>0.00140791470002363</v>
      </c>
      <c r="Y28" s="10"/>
      <c r="Z28" s="42" t="n">
        <v>33.0833333333139</v>
      </c>
      <c r="AA28" s="47"/>
    </row>
    <row r="29" customFormat="false" ht="15" hidden="false" customHeight="false" outlineLevel="0" collapsed="false">
      <c r="A29" s="0" t="n">
        <f aca="false">B29/D26</f>
        <v>0.378471007893223</v>
      </c>
      <c r="B29" s="0" t="n">
        <v>3.20186472677666</v>
      </c>
      <c r="C29" s="43" t="n">
        <v>33.08</v>
      </c>
      <c r="D29" s="44" t="n">
        <v>8.33</v>
      </c>
      <c r="E29" s="45" t="n">
        <f aca="false">(D29-AVERAGE(D$21:D$57))^2</f>
        <v>0.62985867768595</v>
      </c>
      <c r="F29" s="46" t="n">
        <f aca="false">IF(C29&lt;$D$10,$D$11,LOG((10^$D$13)/(1+((10^$D$13/10^$D$11)-1)*EXP(-$D$12*(C29-$D$10)))))</f>
        <v>8.33314112346068</v>
      </c>
      <c r="G29" s="28" t="n">
        <f aca="false">(D29-F29)^2</f>
        <v>9.8666565952522E-006</v>
      </c>
      <c r="M29" s="10"/>
      <c r="N29" s="43" t="n">
        <v>33.08</v>
      </c>
      <c r="O29" s="44" t="n">
        <v>8.33</v>
      </c>
      <c r="P29" s="45" t="n">
        <f aca="false">(O29-AVERAGE(O$21:O$57))^2</f>
        <v>0.62985867768595</v>
      </c>
      <c r="Q29" s="46" t="n">
        <f aca="false">IF(N29&lt;O$10,O$11,LOG((10^O$13)/(1+((10^O$13/10^O$11)-1)*EXP(-O$12*(N29-O$10)))))</f>
        <v>8.33314112224672</v>
      </c>
      <c r="R29" s="28" t="n">
        <f aca="false">(O29-Q29)^2</f>
        <v>9.86664896885413E-006</v>
      </c>
      <c r="Y29" s="10"/>
      <c r="Z29" s="42" t="n">
        <v>35.8333333333721</v>
      </c>
      <c r="AA29" s="42" t="n">
        <v>8.22010808804006</v>
      </c>
    </row>
    <row r="30" customFormat="false" ht="15" hidden="false" customHeight="false" outlineLevel="0" collapsed="false">
      <c r="A30" s="0" t="n">
        <f aca="false">B30/D27</f>
        <v>0.432355695667535</v>
      </c>
      <c r="B30" s="0" t="n">
        <v>3.58855227404054</v>
      </c>
      <c r="C30" s="43" t="n">
        <v>35.83</v>
      </c>
      <c r="D30" s="44" t="n">
        <v>8.32</v>
      </c>
      <c r="E30" s="45" t="n">
        <f aca="false">(D30-AVERAGE(D$21:D$57))^2</f>
        <v>0.614085950413223</v>
      </c>
      <c r="F30" s="46" t="n">
        <f aca="false">IF(C30&lt;$D$10,$D$11,LOG((10^$D$13)/(1+((10^$D$13/10^$D$11)-1)*EXP(-$D$12*(C30-$D$10)))))</f>
        <v>8.33477819264785</v>
      </c>
      <c r="G30" s="28" t="n">
        <f aca="false">(D30-F30)^2</f>
        <v>0.000218394977937003</v>
      </c>
      <c r="M30" s="10"/>
      <c r="N30" s="43" t="n">
        <v>35.83</v>
      </c>
      <c r="O30" s="44" t="n">
        <v>8.32</v>
      </c>
      <c r="P30" s="45" t="n">
        <f aca="false">(O30-AVERAGE(O$21:O$57))^2</f>
        <v>0.614085950413223</v>
      </c>
      <c r="Q30" s="46" t="n">
        <f aca="false">IF(N30&lt;O$10,O$11,LOG((10^O$13)/(1+((10^O$13/10^O$11)-1)*EXP(-O$12*(N30-O$10)))))</f>
        <v>8.33477819135702</v>
      </c>
      <c r="R30" s="28" t="n">
        <f aca="false">(O30-Q30)^2</f>
        <v>0.000218394939784667</v>
      </c>
      <c r="Y30" s="10"/>
      <c r="Z30" s="42" t="n">
        <v>48.25</v>
      </c>
      <c r="AA30" s="42" t="n">
        <v>8.35793484700045</v>
      </c>
    </row>
    <row r="31" customFormat="false" ht="15" hidden="false" customHeight="false" outlineLevel="0" collapsed="false">
      <c r="A31" s="0" t="n">
        <f aca="false">B31/D28</f>
        <v>0.465936354686825</v>
      </c>
      <c r="B31" s="0" t="n">
        <v>3.86261238035378</v>
      </c>
      <c r="C31" s="43" t="n">
        <v>48.25</v>
      </c>
      <c r="D31" s="44" t="n">
        <v>8.37</v>
      </c>
      <c r="E31" s="45" t="n">
        <f aca="false">(D31-AVERAGE(D$21:D$57))^2</f>
        <v>0.694949586776857</v>
      </c>
      <c r="F31" s="46" t="n">
        <f aca="false">IF(C31&lt;$D$10,$D$11,LOG((10^$D$13)/(1+((10^$D$13/10^$D$11)-1)*EXP(-$D$12*(C31-$D$10)))))</f>
        <v>8.33559705182069</v>
      </c>
      <c r="G31" s="28" t="n">
        <f aca="false">(D31-F31)^2</f>
        <v>0.00118356284342837</v>
      </c>
      <c r="M31" s="10"/>
      <c r="N31" s="43" t="n">
        <v>48.25</v>
      </c>
      <c r="O31" s="44" t="n">
        <v>8.37</v>
      </c>
      <c r="P31" s="45" t="n">
        <f aca="false">(O31-AVERAGE(O$21:O$57))^2</f>
        <v>0.694949586776857</v>
      </c>
      <c r="Q31" s="46" t="n">
        <f aca="false">IF(N31&lt;O$10,O$11,LOG((10^O$13)/(1+((10^O$13/10^O$11)-1)*EXP(-O$12*(N31-O$10)))))</f>
        <v>8.33559705048598</v>
      </c>
      <c r="R31" s="28" t="n">
        <f aca="false">(O31-Q31)^2</f>
        <v>0.00118356293526405</v>
      </c>
      <c r="Y31" s="10"/>
      <c r="Z31" s="42" t="n">
        <v>54.0833333333139</v>
      </c>
      <c r="AA31" s="42" t="n">
        <v>8.40483371661994</v>
      </c>
    </row>
    <row r="32" customFormat="false" ht="15" hidden="false" customHeight="false" outlineLevel="0" collapsed="false">
      <c r="C32" s="43" t="n">
        <v>54.08</v>
      </c>
      <c r="D32" s="44" t="n">
        <v>8.2</v>
      </c>
      <c r="E32" s="45" t="n">
        <f aca="false">(D32-AVERAGE(D$21:D$57))^2</f>
        <v>0.440413223140494</v>
      </c>
      <c r="F32" s="46" t="n">
        <f aca="false">IF(C32&lt;$D$10,$D$11,LOG((10^$D$13)/(1+((10^$D$13/10^$D$11)-1)*EXP(-$D$12*(C32-$D$10)))))</f>
        <v>8.33560233853636</v>
      </c>
      <c r="G32" s="28" t="n">
        <f aca="false">(D32-F32)^2</f>
        <v>0.0183879942165287</v>
      </c>
      <c r="M32" s="10"/>
      <c r="N32" s="43" t="n">
        <v>54.08</v>
      </c>
      <c r="O32" s="44" t="n">
        <v>8.2</v>
      </c>
      <c r="P32" s="45" t="n">
        <f aca="false">(O32-AVERAGE(O$21:O$57))^2</f>
        <v>0.440413223140494</v>
      </c>
      <c r="Q32" s="46" t="n">
        <f aca="false">IF(N32&lt;O$10,O$11,LOG((10^O$13)/(1+((10^O$13/10^O$11)-1)*EXP(-O$12*(N32-O$10)))))</f>
        <v>8.33560233720127</v>
      </c>
      <c r="R32" s="28" t="n">
        <f aca="false">(O32-Q32)^2</f>
        <v>0.018387993854446</v>
      </c>
      <c r="Y32" s="10"/>
    </row>
    <row r="33" customFormat="false" ht="15" hidden="false" customHeight="false" outlineLevel="0" collapsed="false">
      <c r="C33" s="43"/>
      <c r="E33" s="45"/>
      <c r="F33" s="46"/>
      <c r="G33" s="28"/>
      <c r="M33" s="10"/>
      <c r="N33" s="43"/>
      <c r="O33" s="48"/>
      <c r="P33" s="45"/>
      <c r="Q33" s="46"/>
      <c r="R33" s="28"/>
      <c r="Y33" s="10"/>
    </row>
    <row r="34" customFormat="false" ht="15" hidden="false" customHeight="false" outlineLevel="0" collapsed="false">
      <c r="C34" s="43"/>
      <c r="D34" s="45"/>
      <c r="E34" s="45"/>
      <c r="F34" s="46"/>
      <c r="G34" s="28"/>
      <c r="M34" s="10"/>
      <c r="N34" s="43"/>
      <c r="O34" s="48"/>
      <c r="P34" s="45"/>
      <c r="Q34" s="46"/>
      <c r="R34" s="28"/>
      <c r="Y34" s="10"/>
    </row>
    <row r="35" customFormat="false" ht="15" hidden="false" customHeight="false" outlineLevel="0" collapsed="false">
      <c r="C35" s="43"/>
      <c r="E35" s="45"/>
      <c r="F35" s="46"/>
      <c r="G35" s="28"/>
      <c r="M35" s="10"/>
      <c r="N35" s="43"/>
      <c r="O35" s="48"/>
      <c r="P35" s="45"/>
      <c r="Q35" s="46"/>
      <c r="R35" s="28"/>
      <c r="Y35" s="10"/>
    </row>
    <row r="36" customFormat="false" ht="15" hidden="false" customHeight="false" outlineLevel="0" collapsed="false">
      <c r="C36" s="43"/>
      <c r="E36" s="45"/>
      <c r="F36" s="46"/>
      <c r="G36" s="28"/>
      <c r="M36" s="10"/>
      <c r="N36" s="43"/>
      <c r="O36" s="48"/>
      <c r="P36" s="45"/>
      <c r="Q36" s="46"/>
      <c r="R36" s="28"/>
      <c r="Y36" s="10"/>
    </row>
    <row r="37" customFormat="false" ht="15" hidden="false" customHeight="false" outlineLevel="0" collapsed="false">
      <c r="C37" s="43"/>
      <c r="D37" s="48"/>
      <c r="E37" s="45"/>
      <c r="F37" s="46"/>
      <c r="G37" s="28"/>
      <c r="M37" s="10"/>
      <c r="N37" s="43"/>
      <c r="O37" s="48"/>
      <c r="P37" s="45"/>
      <c r="Q37" s="46"/>
      <c r="R37" s="28"/>
      <c r="Y37" s="10"/>
    </row>
    <row r="38" customFormat="false" ht="15" hidden="false" customHeight="false" outlineLevel="0" collapsed="false">
      <c r="C38" s="43"/>
      <c r="D38" s="48"/>
      <c r="E38" s="45"/>
      <c r="F38" s="46"/>
      <c r="G38" s="28"/>
      <c r="M38" s="10"/>
      <c r="N38" s="43"/>
      <c r="O38" s="48"/>
      <c r="P38" s="45"/>
      <c r="Q38" s="46"/>
      <c r="R38" s="28"/>
      <c r="Y38" s="10"/>
    </row>
    <row r="39" customFormat="false" ht="15" hidden="false" customHeight="false" outlineLevel="0" collapsed="false">
      <c r="C39" s="43"/>
      <c r="D39" s="48"/>
      <c r="E39" s="45"/>
      <c r="F39" s="46"/>
      <c r="G39" s="28"/>
      <c r="M39" s="10"/>
      <c r="N39" s="43"/>
      <c r="O39" s="48"/>
      <c r="P39" s="45"/>
      <c r="Q39" s="46"/>
      <c r="R39" s="28"/>
      <c r="Y39" s="10"/>
    </row>
    <row r="40" customFormat="false" ht="15" hidden="false" customHeight="false" outlineLevel="0" collapsed="false">
      <c r="C40" s="43"/>
      <c r="D40" s="48"/>
      <c r="E40" s="45"/>
      <c r="F40" s="46"/>
      <c r="G40" s="28"/>
      <c r="M40" s="10"/>
      <c r="N40" s="43"/>
      <c r="O40" s="48"/>
      <c r="P40" s="45"/>
      <c r="Q40" s="46"/>
      <c r="R40" s="28"/>
      <c r="Y40" s="10"/>
    </row>
    <row r="41" customFormat="false" ht="15" hidden="false" customHeight="false" outlineLevel="0" collapsed="false">
      <c r="C41" s="43"/>
      <c r="D41" s="48"/>
      <c r="E41" s="45"/>
      <c r="F41" s="46"/>
      <c r="G41" s="28"/>
      <c r="M41" s="10"/>
      <c r="N41" s="43"/>
      <c r="O41" s="48"/>
      <c r="P41" s="45"/>
      <c r="Q41" s="46"/>
      <c r="R41" s="28"/>
      <c r="Y41" s="10"/>
    </row>
    <row r="42" customFormat="false" ht="15" hidden="false" customHeight="false" outlineLevel="0" collapsed="false">
      <c r="C42" s="43"/>
      <c r="D42" s="48"/>
      <c r="E42" s="45"/>
      <c r="F42" s="46"/>
      <c r="G42" s="28"/>
      <c r="M42" s="10"/>
      <c r="N42" s="43"/>
      <c r="O42" s="48"/>
      <c r="P42" s="45"/>
      <c r="Q42" s="46"/>
      <c r="R42" s="28"/>
      <c r="Y42" s="10"/>
    </row>
    <row r="43" customFormat="false" ht="15" hidden="false" customHeight="false" outlineLevel="0" collapsed="false">
      <c r="C43" s="43"/>
      <c r="D43" s="48"/>
      <c r="E43" s="45"/>
      <c r="F43" s="46"/>
      <c r="G43" s="28"/>
      <c r="M43" s="10"/>
      <c r="N43" s="43"/>
      <c r="O43" s="48"/>
      <c r="P43" s="45"/>
      <c r="Q43" s="46"/>
      <c r="R43" s="28"/>
      <c r="Y43" s="10"/>
    </row>
    <row r="44" customFormat="false" ht="15" hidden="false" customHeight="false" outlineLevel="0" collapsed="false">
      <c r="C44" s="43"/>
      <c r="D44" s="48"/>
      <c r="E44" s="45"/>
      <c r="F44" s="46"/>
      <c r="G44" s="28"/>
      <c r="M44" s="10"/>
      <c r="N44" s="43"/>
      <c r="O44" s="48"/>
      <c r="P44" s="45"/>
      <c r="Q44" s="46"/>
      <c r="R44" s="28"/>
      <c r="Y44" s="10"/>
    </row>
    <row r="45" customFormat="false" ht="15" hidden="false" customHeight="false" outlineLevel="0" collapsed="false">
      <c r="C45" s="43"/>
      <c r="D45" s="48"/>
      <c r="E45" s="45"/>
      <c r="F45" s="46"/>
      <c r="G45" s="28"/>
      <c r="M45" s="10"/>
      <c r="N45" s="43"/>
      <c r="O45" s="48"/>
      <c r="P45" s="45"/>
      <c r="Q45" s="46"/>
      <c r="R45" s="28"/>
      <c r="Y45" s="10"/>
    </row>
    <row r="46" customFormat="false" ht="15" hidden="false" customHeight="false" outlineLevel="0" collapsed="false">
      <c r="C46" s="43"/>
      <c r="D46" s="48"/>
      <c r="E46" s="45"/>
      <c r="F46" s="46"/>
      <c r="G46" s="28"/>
      <c r="M46" s="10"/>
      <c r="N46" s="43"/>
      <c r="O46" s="48"/>
      <c r="P46" s="45"/>
      <c r="Q46" s="46"/>
      <c r="R46" s="28"/>
      <c r="Y46" s="10"/>
    </row>
    <row r="47" customFormat="false" ht="15" hidden="false" customHeight="false" outlineLevel="0" collapsed="false">
      <c r="C47" s="43"/>
      <c r="D47" s="48"/>
      <c r="E47" s="45"/>
      <c r="F47" s="46"/>
      <c r="G47" s="28"/>
      <c r="M47" s="10"/>
      <c r="N47" s="43"/>
      <c r="O47" s="48"/>
      <c r="P47" s="45"/>
      <c r="Q47" s="46"/>
      <c r="R47" s="28"/>
      <c r="Y47" s="10"/>
    </row>
    <row r="48" customFormat="false" ht="15" hidden="false" customHeight="false" outlineLevel="0" collapsed="false">
      <c r="C48" s="43"/>
      <c r="D48" s="48"/>
      <c r="E48" s="45"/>
      <c r="F48" s="46"/>
      <c r="G48" s="28"/>
      <c r="M48" s="10"/>
      <c r="N48" s="43"/>
      <c r="O48" s="48"/>
      <c r="P48" s="45"/>
      <c r="Q48" s="46"/>
      <c r="R48" s="28"/>
      <c r="Y48" s="10"/>
    </row>
    <row r="49" customFormat="false" ht="15" hidden="false" customHeight="false" outlineLevel="0" collapsed="false">
      <c r="C49" s="43"/>
      <c r="D49" s="48"/>
      <c r="E49" s="45"/>
      <c r="F49" s="46"/>
      <c r="G49" s="28"/>
      <c r="M49" s="10"/>
      <c r="N49" s="43"/>
      <c r="O49" s="48"/>
      <c r="P49" s="45"/>
      <c r="Q49" s="46"/>
      <c r="R49" s="28"/>
      <c r="Y49" s="10"/>
    </row>
    <row r="50" customFormat="false" ht="15" hidden="false" customHeight="false" outlineLevel="0" collapsed="false">
      <c r="C50" s="43"/>
      <c r="D50" s="48"/>
      <c r="E50" s="45"/>
      <c r="F50" s="46"/>
      <c r="G50" s="28"/>
      <c r="M50" s="10"/>
      <c r="N50" s="43"/>
      <c r="O50" s="48"/>
      <c r="P50" s="45"/>
      <c r="Q50" s="46"/>
      <c r="R50" s="28"/>
      <c r="Y50" s="10"/>
    </row>
    <row r="51" customFormat="false" ht="15" hidden="false" customHeight="false" outlineLevel="0" collapsed="false">
      <c r="C51" s="43"/>
      <c r="D51" s="48"/>
      <c r="E51" s="45"/>
      <c r="F51" s="46"/>
      <c r="G51" s="28"/>
      <c r="M51" s="10"/>
      <c r="N51" s="43"/>
      <c r="O51" s="48"/>
      <c r="P51" s="45"/>
      <c r="Q51" s="46"/>
      <c r="R51" s="28"/>
      <c r="Y51" s="10"/>
    </row>
    <row r="52" customFormat="false" ht="15" hidden="false" customHeight="false" outlineLevel="0" collapsed="false">
      <c r="C52" s="43"/>
      <c r="D52" s="48"/>
      <c r="E52" s="45"/>
      <c r="F52" s="46"/>
      <c r="G52" s="28"/>
      <c r="M52" s="10"/>
      <c r="N52" s="43"/>
      <c r="O52" s="48"/>
      <c r="P52" s="45"/>
      <c r="Q52" s="46"/>
      <c r="R52" s="28"/>
      <c r="Y52" s="10"/>
    </row>
    <row r="53" customFormat="false" ht="15" hidden="false" customHeight="false" outlineLevel="0" collapsed="false">
      <c r="C53" s="43"/>
      <c r="D53" s="48"/>
      <c r="E53" s="45"/>
      <c r="F53" s="46"/>
      <c r="G53" s="28"/>
      <c r="M53" s="10"/>
      <c r="N53" s="43"/>
      <c r="O53" s="48"/>
      <c r="P53" s="45"/>
      <c r="Q53" s="46"/>
      <c r="R53" s="28"/>
      <c r="Y53" s="10"/>
    </row>
    <row r="54" customFormat="false" ht="15" hidden="false" customHeight="false" outlineLevel="0" collapsed="false">
      <c r="C54" s="43"/>
      <c r="D54" s="48"/>
      <c r="E54" s="45"/>
      <c r="F54" s="46"/>
      <c r="G54" s="28"/>
      <c r="M54" s="10"/>
      <c r="N54" s="43"/>
      <c r="O54" s="48"/>
      <c r="P54" s="45"/>
      <c r="Q54" s="46"/>
      <c r="R54" s="28"/>
      <c r="Y54" s="10"/>
    </row>
    <row r="55" customFormat="false" ht="15" hidden="false" customHeight="false" outlineLevel="0" collapsed="false">
      <c r="C55" s="43"/>
      <c r="D55" s="48"/>
      <c r="E55" s="45"/>
      <c r="F55" s="46"/>
      <c r="G55" s="28"/>
      <c r="M55" s="10"/>
      <c r="N55" s="43"/>
      <c r="O55" s="48"/>
      <c r="P55" s="45"/>
      <c r="Q55" s="46"/>
      <c r="R55" s="28"/>
      <c r="Y55" s="10"/>
    </row>
    <row r="56" customFormat="false" ht="15" hidden="false" customHeight="false" outlineLevel="0" collapsed="false">
      <c r="C56" s="43"/>
      <c r="D56" s="48"/>
      <c r="E56" s="45"/>
      <c r="F56" s="46"/>
      <c r="G56" s="28"/>
      <c r="M56" s="10"/>
      <c r="N56" s="43"/>
      <c r="O56" s="48"/>
      <c r="P56" s="45"/>
      <c r="Q56" s="46"/>
      <c r="R56" s="28"/>
      <c r="Y56" s="10"/>
    </row>
    <row r="57" customFormat="false" ht="15" hidden="false" customHeight="false" outlineLevel="0" collapsed="false">
      <c r="C57" s="43"/>
      <c r="D57" s="48"/>
      <c r="E57" s="45"/>
      <c r="F57" s="46"/>
      <c r="G57" s="28"/>
      <c r="M57" s="10"/>
      <c r="N57" s="43"/>
      <c r="O57" s="48"/>
      <c r="P57" s="45"/>
      <c r="Q57" s="46"/>
      <c r="R57" s="28"/>
      <c r="Y57" s="10"/>
    </row>
    <row r="58" customFormat="false" ht="15.75" hidden="false" customHeight="false" outlineLevel="0" collapsed="false">
      <c r="C58" s="49"/>
      <c r="D58" s="50" t="s">
        <v>21</v>
      </c>
      <c r="E58" s="50" t="n">
        <f aca="false">SUM(E21:E57)</f>
        <v>19.5822223140496</v>
      </c>
      <c r="F58" s="51"/>
      <c r="G58" s="51"/>
      <c r="H58" s="51"/>
      <c r="I58" s="51"/>
      <c r="J58" s="51"/>
      <c r="K58" s="51"/>
      <c r="L58" s="51"/>
      <c r="M58" s="52"/>
      <c r="N58" s="49"/>
      <c r="O58" s="53" t="s">
        <v>21</v>
      </c>
      <c r="P58" s="54" t="n">
        <f aca="false">SUM(P21:P57)</f>
        <v>19.5822223140496</v>
      </c>
      <c r="Q58" s="51"/>
      <c r="R58" s="51"/>
      <c r="S58" s="51"/>
      <c r="T58" s="51"/>
      <c r="U58" s="51"/>
      <c r="V58" s="51"/>
      <c r="W58" s="51"/>
      <c r="X58" s="51"/>
      <c r="Y58" s="52"/>
    </row>
    <row r="59" customFormat="false" ht="20.25" hidden="false" customHeight="false" outlineLevel="0" collapsed="false">
      <c r="F59" s="55" t="s">
        <v>38</v>
      </c>
    </row>
    <row r="60" customFormat="false" ht="15.75" hidden="false" customHeight="false" outlineLevel="0" collapsed="false">
      <c r="K60" s="56" t="s">
        <v>39</v>
      </c>
      <c r="L60" s="57" t="n">
        <f aca="false">($I$62-$I$65)/($I$63-$I$66)/($I$65/$I$66)</f>
        <v>8.15054945116892E-012</v>
      </c>
    </row>
    <row r="61" customFormat="false" ht="15.75" hidden="false" customHeight="false" outlineLevel="0" collapsed="false">
      <c r="H61" s="58"/>
      <c r="I61" s="58" t="s">
        <v>40</v>
      </c>
      <c r="K61" s="58"/>
      <c r="L61" s="59"/>
    </row>
    <row r="62" customFormat="false" ht="15.75" hidden="false" customHeight="false" outlineLevel="0" collapsed="false">
      <c r="G62" s="58"/>
      <c r="H62" s="58" t="s">
        <v>41</v>
      </c>
      <c r="I62" s="60" t="n">
        <f aca="false">P11</f>
        <v>0.0891796336648919</v>
      </c>
      <c r="K62" s="61" t="s">
        <v>42</v>
      </c>
      <c r="L62" s="61" t="n">
        <f aca="false">_xlfn.F.INV.RT(0.05,1,I66)</f>
        <v>5.31765507157871</v>
      </c>
    </row>
    <row r="63" customFormat="false" ht="15.75" hidden="false" customHeight="false" outlineLevel="0" collapsed="false">
      <c r="G63" s="58"/>
      <c r="H63" s="58" t="s">
        <v>43</v>
      </c>
      <c r="I63" s="62" t="n">
        <f aca="false">$U$6-$U$8</f>
        <v>9</v>
      </c>
      <c r="K63" s="61" t="s">
        <v>44</v>
      </c>
      <c r="L63" s="61" t="n">
        <f aca="false">_xlfn.F.INV.RT(0.01,1,I66)</f>
        <v>11.2586241432726</v>
      </c>
    </row>
    <row r="64" customFormat="false" ht="15.75" hidden="false" customHeight="false" outlineLevel="0" collapsed="false">
      <c r="G64" s="58"/>
      <c r="H64" s="58"/>
      <c r="I64" s="58" t="s">
        <v>45</v>
      </c>
    </row>
    <row r="65" customFormat="false" ht="26.25" hidden="false" customHeight="false" outlineLevel="0" collapsed="false">
      <c r="G65" s="58"/>
      <c r="H65" s="58" t="s">
        <v>46</v>
      </c>
      <c r="I65" s="60" t="n">
        <f aca="false">E11</f>
        <v>0.0891796336648011</v>
      </c>
      <c r="K65" s="63" t="s">
        <v>47</v>
      </c>
    </row>
    <row r="66" customFormat="false" ht="15.75" hidden="false" customHeight="false" outlineLevel="0" collapsed="false">
      <c r="H66" s="58" t="s">
        <v>48</v>
      </c>
      <c r="I66" s="62" t="n">
        <f aca="false">$H$6-$H$8</f>
        <v>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3:AD66"/>
  <sheetViews>
    <sheetView showFormulas="false" showGridLines="true" showRowColHeaders="true" showZeros="true" rightToLeft="false" tabSelected="true" showOutlineSymbols="true" defaultGridColor="true" view="normal" topLeftCell="A1" colorId="64" zoomScale="85" zoomScaleNormal="85" zoomScalePageLayoutView="100" workbookViewId="0">
      <selection pane="topLeft" activeCell="N20" activeCellId="0" sqref="N20"/>
    </sheetView>
  </sheetViews>
  <sheetFormatPr defaultColWidth="11.42578125" defaultRowHeight="15" zeroHeight="false" outlineLevelRow="0" outlineLevelCol="0"/>
  <cols>
    <col collapsed="false" customWidth="true" hidden="true" outlineLevel="0" max="12" min="1" style="0" width="11.53"/>
  </cols>
  <sheetData>
    <row r="3" customFormat="false" ht="45.75" hidden="false" customHeight="false" outlineLevel="0" collapsed="false">
      <c r="B3" s="1"/>
    </row>
    <row r="4" customFormat="false" ht="15.75" hidden="false" customHeight="false" outlineLevel="0" collapsed="false">
      <c r="B4" s="2" t="s">
        <v>0</v>
      </c>
      <c r="C4" s="3"/>
      <c r="D4" s="3"/>
      <c r="E4" s="4"/>
      <c r="F4" s="4"/>
      <c r="G4" s="4"/>
      <c r="H4" s="4"/>
      <c r="I4" s="4"/>
      <c r="J4" s="4"/>
      <c r="K4" s="4"/>
      <c r="L4" s="5"/>
      <c r="M4" s="6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5"/>
    </row>
    <row r="5" customFormat="false" ht="16.5" hidden="false" customHeight="false" outlineLevel="0" collapsed="false">
      <c r="B5" s="7" t="s">
        <v>1</v>
      </c>
      <c r="C5" s="8"/>
      <c r="D5" s="8"/>
      <c r="G5" s="9" t="s">
        <v>2</v>
      </c>
      <c r="K5" s="9" t="s">
        <v>3</v>
      </c>
      <c r="L5" s="10"/>
      <c r="M5" s="7" t="s">
        <v>4</v>
      </c>
      <c r="W5" s="8"/>
      <c r="X5" s="9" t="s">
        <v>2</v>
      </c>
      <c r="Z5" s="9" t="s">
        <v>5</v>
      </c>
      <c r="AB5" s="10"/>
    </row>
    <row r="6" customFormat="false" ht="17.25" hidden="false" customHeight="false" outlineLevel="0" collapsed="false">
      <c r="B6" s="11" t="s">
        <v>49</v>
      </c>
      <c r="C6" s="12" t="s">
        <v>50</v>
      </c>
      <c r="D6" s="13"/>
      <c r="E6" s="14"/>
      <c r="F6" s="14"/>
      <c r="G6" s="15" t="n">
        <f aca="false">COUNT(F21:F36)</f>
        <v>9</v>
      </c>
      <c r="L6" s="10"/>
      <c r="M6" s="16"/>
      <c r="N6" s="12" t="s">
        <v>8</v>
      </c>
      <c r="O6" s="14"/>
      <c r="P6" s="12"/>
      <c r="Q6" s="12"/>
      <c r="R6" s="12"/>
      <c r="W6" s="8"/>
      <c r="X6" s="15" t="n">
        <f aca="false">COUNT(S21:S45)</f>
        <v>12</v>
      </c>
      <c r="AB6" s="10"/>
    </row>
    <row r="7" customFormat="false" ht="17.25" hidden="false" customHeight="false" outlineLevel="0" collapsed="false">
      <c r="B7" s="11" t="s">
        <v>51</v>
      </c>
      <c r="C7" s="12" t="s">
        <v>52</v>
      </c>
      <c r="D7" s="13"/>
      <c r="E7" s="14"/>
      <c r="F7" s="14"/>
      <c r="G7" s="9" t="s">
        <v>11</v>
      </c>
      <c r="L7" s="10"/>
      <c r="M7" s="16"/>
      <c r="N7" s="12" t="s">
        <v>52</v>
      </c>
      <c r="X7" s="9" t="s">
        <v>11</v>
      </c>
      <c r="AB7" s="10"/>
    </row>
    <row r="8" customFormat="false" ht="15.75" hidden="false" customHeight="false" outlineLevel="0" collapsed="false">
      <c r="B8" s="16"/>
      <c r="E8" s="17"/>
      <c r="F8" s="17"/>
      <c r="G8" s="15" t="n">
        <f aca="false">COUNT(C10:C13)</f>
        <v>4</v>
      </c>
      <c r="L8" s="10"/>
      <c r="M8" s="16"/>
      <c r="X8" s="15" t="n">
        <f aca="false">COUNT(N11:N13)</f>
        <v>3</v>
      </c>
      <c r="AB8" s="10"/>
    </row>
    <row r="9" customFormat="false" ht="15.75" hidden="false" customHeight="false" outlineLevel="0" collapsed="false">
      <c r="B9" s="18" t="s">
        <v>12</v>
      </c>
      <c r="G9" s="19" t="s">
        <v>13</v>
      </c>
      <c r="L9" s="10"/>
      <c r="M9" s="18" t="s">
        <v>12</v>
      </c>
      <c r="P9" s="8"/>
      <c r="Q9" s="8"/>
      <c r="X9" s="19" t="s">
        <v>13</v>
      </c>
      <c r="AB9" s="10"/>
    </row>
    <row r="10" customFormat="false" ht="15.75" hidden="false" customHeight="false" outlineLevel="0" collapsed="false">
      <c r="B10" s="20" t="s">
        <v>14</v>
      </c>
      <c r="C10" s="24" t="n">
        <v>0.972171369313439</v>
      </c>
      <c r="D10" s="22" t="s">
        <v>15</v>
      </c>
      <c r="G10" s="23" t="e">
        <f aca="false">D11/(G6-G8)</f>
        <v>#REF!</v>
      </c>
      <c r="L10" s="10"/>
      <c r="M10" s="20" t="s">
        <v>16</v>
      </c>
      <c r="N10" s="24" t="n">
        <v>0</v>
      </c>
      <c r="O10" s="22" t="s">
        <v>15</v>
      </c>
      <c r="X10" s="23" t="n">
        <f aca="false">O11/(X6-X8)</f>
        <v>0.0250285961176102</v>
      </c>
      <c r="AB10" s="10"/>
    </row>
    <row r="11" customFormat="false" ht="17.25" hidden="false" customHeight="false" outlineLevel="0" collapsed="false">
      <c r="B11" s="25" t="s">
        <v>17</v>
      </c>
      <c r="C11" s="64" t="n">
        <v>5.19587650623435</v>
      </c>
      <c r="D11" s="27" t="e">
        <f aca="false">SUM(F21:F57)</f>
        <v>#REF!</v>
      </c>
      <c r="G11" s="28"/>
      <c r="L11" s="10"/>
      <c r="M11" s="25" t="s">
        <v>17</v>
      </c>
      <c r="N11" s="26" t="n">
        <v>4.85776139456691</v>
      </c>
      <c r="O11" s="27" t="n">
        <f aca="false">SUM(S21:S45)</f>
        <v>0.225257365058492</v>
      </c>
      <c r="X11" s="28"/>
      <c r="AB11" s="10"/>
    </row>
    <row r="12" customFormat="false" ht="17.25" hidden="false" customHeight="false" outlineLevel="0" collapsed="false">
      <c r="B12" s="25" t="s">
        <v>18</v>
      </c>
      <c r="C12" s="64" t="n">
        <v>0.364136545809149</v>
      </c>
      <c r="D12" s="22" t="s">
        <v>19</v>
      </c>
      <c r="G12" s="19" t="s">
        <v>20</v>
      </c>
      <c r="I12" s="9" t="s">
        <v>21</v>
      </c>
      <c r="L12" s="10"/>
      <c r="M12" s="25" t="s">
        <v>22</v>
      </c>
      <c r="N12" s="26" t="n">
        <v>0.398358279834526</v>
      </c>
      <c r="O12" s="22" t="s">
        <v>19</v>
      </c>
      <c r="X12" s="19" t="s">
        <v>20</v>
      </c>
      <c r="Z12" s="9" t="s">
        <v>21</v>
      </c>
      <c r="AB12" s="10"/>
    </row>
    <row r="13" customFormat="false" ht="17.25" hidden="false" customHeight="false" outlineLevel="0" collapsed="false">
      <c r="B13" s="29" t="s">
        <v>23</v>
      </c>
      <c r="C13" s="65" t="n">
        <v>8.06445389424692</v>
      </c>
      <c r="D13" s="31" t="e">
        <f aca="false">SQRT(D11/(COUNT(F21:F57)-G8))</f>
        <v>#REF!</v>
      </c>
      <c r="G13" s="23" t="e">
        <f aca="false">1-D11/I13</f>
        <v>#REF!</v>
      </c>
      <c r="I13" s="23" t="n">
        <f aca="false">D58</f>
        <v>14.2023980775639</v>
      </c>
      <c r="L13" s="10"/>
      <c r="M13" s="29" t="s">
        <v>23</v>
      </c>
      <c r="N13" s="30" t="n">
        <v>8.33560291182196</v>
      </c>
      <c r="O13" s="32" t="n">
        <f aca="false">SQRT(O11/(COUNT(R21:R45)-X8))</f>
        <v>0.15820428602794</v>
      </c>
      <c r="X13" s="23" t="n">
        <f aca="false">1-O11/Z13</f>
        <v>0.988496843644918</v>
      </c>
      <c r="Z13" s="23" t="n">
        <f aca="false">O58</f>
        <v>19.5822223140496</v>
      </c>
      <c r="AB13" s="10"/>
    </row>
    <row r="14" customFormat="false" ht="15.75" hidden="false" customHeight="false" outlineLevel="0" collapsed="false">
      <c r="B14" s="16" t="s">
        <v>24</v>
      </c>
      <c r="C14" s="66" t="n">
        <v>1.42200555937544</v>
      </c>
      <c r="E14" s="33"/>
      <c r="F14" s="34"/>
      <c r="G14" s="19" t="s">
        <v>25</v>
      </c>
      <c r="L14" s="10"/>
      <c r="M14" s="16" t="s">
        <v>53</v>
      </c>
      <c r="N14" s="66" t="n">
        <v>1.18660327202044</v>
      </c>
      <c r="X14" s="19" t="s">
        <v>25</v>
      </c>
      <c r="AB14" s="10"/>
    </row>
    <row r="15" customFormat="false" ht="15.75" hidden="false" customHeight="false" outlineLevel="0" collapsed="false">
      <c r="B15" s="16" t="s">
        <v>54</v>
      </c>
      <c r="C15" s="66" t="n">
        <v>17.211582999633</v>
      </c>
      <c r="E15" s="33"/>
      <c r="F15" s="34"/>
      <c r="G15" s="23" t="e">
        <f aca="false">(((G6-1)*G13)-(G8+1))/(G6-G8)</f>
        <v>#REF!</v>
      </c>
      <c r="L15" s="10"/>
      <c r="M15" s="16" t="s">
        <v>54</v>
      </c>
      <c r="N15" s="66" t="n">
        <v>15.5229617927329</v>
      </c>
      <c r="X15" s="23" t="n">
        <f aca="false">(((X6-1)*X13)-(X8+1))/(X6-X8)</f>
        <v>0.7637183644549</v>
      </c>
      <c r="AB15" s="10"/>
    </row>
    <row r="16" customFormat="false" ht="18.75" hidden="false" customHeight="false" outlineLevel="0" collapsed="false">
      <c r="B16" s="16" t="s">
        <v>55</v>
      </c>
      <c r="C16" s="66" t="n">
        <v>0</v>
      </c>
      <c r="E16" s="33"/>
      <c r="F16" s="34"/>
      <c r="H16" s="35" t="s">
        <v>26</v>
      </c>
      <c r="I16" s="36"/>
      <c r="L16" s="10"/>
      <c r="M16" s="16" t="s">
        <v>55</v>
      </c>
      <c r="N16" s="66" t="n">
        <v>0.00815701939431153</v>
      </c>
      <c r="Y16" s="35" t="s">
        <v>26</v>
      </c>
      <c r="Z16" s="36"/>
      <c r="AB16" s="10"/>
      <c r="AD16" s="28"/>
    </row>
    <row r="17" customFormat="false" ht="15.75" hidden="false" customHeight="false" outlineLevel="0" collapsed="false">
      <c r="B17" s="16"/>
      <c r="E17" s="33"/>
      <c r="F17" s="34"/>
      <c r="H17" s="23" t="e">
        <f aca="false">1-(1-G13)*((G6-1)/(G6-(G8-1)-1))</f>
        <v>#REF!</v>
      </c>
      <c r="L17" s="10"/>
      <c r="M17" s="16"/>
      <c r="Y17" s="23" t="n">
        <f aca="false">1-(1-X13)*((X6-1)/(X6-(X8-1)-1))</f>
        <v>0.985940586677122</v>
      </c>
      <c r="AB17" s="10"/>
      <c r="AD17" s="28"/>
    </row>
    <row r="18" customFormat="false" ht="15" hidden="false" customHeight="false" outlineLevel="0" collapsed="false">
      <c r="B18" s="16"/>
      <c r="E18" s="33"/>
      <c r="F18" s="34"/>
      <c r="G18" s="17"/>
      <c r="H18" s="8"/>
      <c r="L18" s="10"/>
      <c r="M18" s="16"/>
      <c r="AB18" s="10"/>
      <c r="AD18" s="28"/>
    </row>
    <row r="19" customFormat="false" ht="15" hidden="false" customHeight="false" outlineLevel="0" collapsed="false">
      <c r="B19" s="18" t="s">
        <v>27</v>
      </c>
      <c r="E19" s="37" t="s">
        <v>28</v>
      </c>
      <c r="H19" s="37" t="s">
        <v>29</v>
      </c>
      <c r="L19" s="10"/>
      <c r="M19" s="18" t="s">
        <v>27</v>
      </c>
      <c r="O19" s="37" t="s">
        <v>56</v>
      </c>
      <c r="Q19" s="37" t="s">
        <v>57</v>
      </c>
      <c r="R19" s="37" t="s">
        <v>58</v>
      </c>
      <c r="W19" s="37" t="s">
        <v>29</v>
      </c>
      <c r="AB19" s="10"/>
      <c r="AD19" s="28"/>
    </row>
    <row r="20" customFormat="false" ht="15.75" hidden="false" customHeight="false" outlineLevel="0" collapsed="false">
      <c r="A20" s="0" t="s">
        <v>30</v>
      </c>
      <c r="B20" s="38" t="s">
        <v>32</v>
      </c>
      <c r="C20" s="39" t="s">
        <v>33</v>
      </c>
      <c r="D20" s="40" t="s">
        <v>34</v>
      </c>
      <c r="E20" s="40" t="s">
        <v>33</v>
      </c>
      <c r="F20" s="40" t="s">
        <v>35</v>
      </c>
      <c r="G20" s="67" t="s">
        <v>59</v>
      </c>
      <c r="L20" s="10"/>
      <c r="M20" s="41" t="s">
        <v>36</v>
      </c>
      <c r="N20" s="39" t="s">
        <v>60</v>
      </c>
      <c r="O20" s="40" t="s">
        <v>34</v>
      </c>
      <c r="P20" s="40" t="s">
        <v>33</v>
      </c>
      <c r="Q20" s="68" t="s">
        <v>61</v>
      </c>
      <c r="R20" s="40" t="s">
        <v>59</v>
      </c>
      <c r="S20" s="40" t="s">
        <v>35</v>
      </c>
      <c r="U20" s="67"/>
      <c r="V20" s="67"/>
      <c r="AB20" s="10"/>
      <c r="AC20" s="69"/>
      <c r="AD20" s="28"/>
    </row>
    <row r="21" customFormat="false" ht="15" hidden="false" customHeight="false" outlineLevel="0" collapsed="false">
      <c r="A21" s="0" t="n">
        <f aca="false">Q21/C21</f>
        <v>0</v>
      </c>
      <c r="B21" s="70" t="n">
        <v>1</v>
      </c>
      <c r="C21" s="71" t="n">
        <v>5.12710479836481</v>
      </c>
      <c r="D21" s="45" t="n">
        <f aca="false">(C21-AVERAGE(C$21:C$57))^2</f>
        <v>4.31990658629041</v>
      </c>
      <c r="E21" s="46" t="n">
        <f aca="false">IF(B21&lt;$C$10,$C$11,LOG((10^$C$13)/(1+((10^$C$13/10^$C$11)-1)*EXP(-$C$12*(B21-$C$10)))))</f>
        <v>5.20027140890088</v>
      </c>
      <c r="F21" s="28" t="n">
        <f aca="false">(Q21-G21)^2</f>
        <v>0</v>
      </c>
      <c r="G21" s="0" t="n">
        <f aca="false">IF(B21&lt;$C$15,$C$16,$C$14*(LOG((10^$C$13)/(1+((10^$C$13/10^$C$11)-1)*EXP(-$C$12*(B21-$C$15))))-$C$11))</f>
        <v>0</v>
      </c>
      <c r="L21" s="10"/>
      <c r="M21" s="43" t="n">
        <v>1</v>
      </c>
      <c r="N21" s="44" t="s">
        <v>37</v>
      </c>
      <c r="O21" s="45" t="n">
        <f aca="false">(N21-AVERAGE(N$21:N$53))^2</f>
        <v>6.48396776859504</v>
      </c>
      <c r="P21" s="46" t="n">
        <f aca="false">IF(M21&lt;N$10,N$11,LOG((10^N$13)/(1+((10^N$13/10^N$11)-1)*EXP(-N$12*(M21-N$10)))))</f>
        <v>5.03069547581786</v>
      </c>
      <c r="Q21" s="72" t="n">
        <v>0</v>
      </c>
      <c r="R21" s="73" t="n">
        <f aca="false">IF(M21&lt;$N$15,$N$16,$N$14*(LOG((10^$N$13)/(1+((10^$N$13/10^$N$11)-1)*EXP(-$N$12*(M21-$N$15))))-$N$11))</f>
        <v>0.00815701939431153</v>
      </c>
      <c r="S21" s="28" t="n">
        <f aca="false">(Q21-R21)^2</f>
        <v>6.65369653991744E-005</v>
      </c>
      <c r="U21" s="73"/>
      <c r="V21" s="73"/>
      <c r="AB21" s="10"/>
      <c r="AC21" s="69"/>
      <c r="AD21" s="28"/>
    </row>
    <row r="22" customFormat="false" ht="15" hidden="false" customHeight="false" outlineLevel="0" collapsed="false">
      <c r="A22" s="0" t="n">
        <f aca="false">Q22/C22</f>
        <v>0</v>
      </c>
      <c r="B22" s="43" t="n">
        <v>3.25</v>
      </c>
      <c r="C22" s="48" t="n">
        <v>5.62940959910272</v>
      </c>
      <c r="D22" s="45" t="n">
        <f aca="false">(C22-AVERAGE(C$21:C$57))^2</f>
        <v>2.48419742885587</v>
      </c>
      <c r="E22" s="46" t="n">
        <f aca="false">IF(B22&lt;$C$10,$C$11,LOG((10^$C$13)/(1+((10^$C$13/10^$C$11)-1)*EXP(-$C$12*(B22-$C$10)))))</f>
        <v>5.55533924725384</v>
      </c>
      <c r="F22" s="28" t="n">
        <f aca="false">(Q22-G22)^2</f>
        <v>0</v>
      </c>
      <c r="G22" s="0" t="n">
        <f aca="false">IF(B22&lt;$C$15,$C$16,$C$14*(LOG((10^$C$13)/(1+((10^$C$13/10^$C$11)-1)*EXP(-$C$12*(B22-$C$15))))-$C$11))</f>
        <v>0</v>
      </c>
      <c r="L22" s="10"/>
      <c r="M22" s="43" t="n">
        <v>3</v>
      </c>
      <c r="N22" s="44" t="n">
        <v>5.4</v>
      </c>
      <c r="O22" s="45" t="n">
        <f aca="false">(N22-AVERAGE(N$21:N$53))^2</f>
        <v>4.56404958677686</v>
      </c>
      <c r="P22" s="46" t="n">
        <f aca="false">IF(M22&lt;N$10,N$11,LOG((10^N$13)/(1+((10^N$13/10^N$11)-1)*EXP(-N$12*(M22-N$10)))))</f>
        <v>5.37644297311353</v>
      </c>
      <c r="Q22" s="72" t="n">
        <v>0</v>
      </c>
      <c r="R22" s="74" t="n">
        <f aca="false">IF(M22&lt;$N$15,$N$16,$N$14*(LOG((10^$N$13)/(1+((10^$N$13/10^$N$11)-1)*EXP(-$N$12*(M22-$N$15))))-$N$11))</f>
        <v>0.00815701939431153</v>
      </c>
      <c r="S22" s="28" t="n">
        <f aca="false">(Q22-R22)^2</f>
        <v>6.65369653991744E-005</v>
      </c>
      <c r="AB22" s="10"/>
      <c r="AC22" s="69"/>
      <c r="AD22" s="28"/>
    </row>
    <row r="23" customFormat="false" ht="15" hidden="false" customHeight="false" outlineLevel="0" collapsed="false">
      <c r="A23" s="0" t="n">
        <f aca="false">Q23/C23</f>
        <v>0.00685022216265772</v>
      </c>
      <c r="B23" s="43" t="n">
        <v>6.00000000005821</v>
      </c>
      <c r="C23" s="48" t="n">
        <v>5.95424250943933</v>
      </c>
      <c r="D23" s="45" t="n">
        <f aca="false">(C23-AVERAGE(C$21:C$57))^2</f>
        <v>1.56575365714598</v>
      </c>
      <c r="E23" s="46" t="n">
        <f aca="false">IF(B23&lt;$C$10,$C$11,LOG((10^$C$13)/(1+((10^$C$13/10^$C$11)-1)*EXP(-$C$12*(B23-$C$10)))))</f>
        <v>5.98792141344128</v>
      </c>
      <c r="F23" s="28" t="n">
        <f aca="false">(Q23-G23)^2</f>
        <v>0.00166365148119746</v>
      </c>
      <c r="G23" s="0" t="n">
        <f aca="false">IF(B23&lt;$C$15,$C$16,$C$14*(LOG((10^$C$13)/(1+((10^$C$13/10^$C$11)-1)*EXP(-$C$12*(B23-$C$15))))-$C$11))</f>
        <v>0</v>
      </c>
      <c r="L23" s="10"/>
      <c r="M23" s="43" t="n">
        <v>6</v>
      </c>
      <c r="N23" s="44" t="n">
        <v>6</v>
      </c>
      <c r="O23" s="45" t="n">
        <f aca="false">(N23-AVERAGE(N$21:N$53))^2</f>
        <v>2.3604132231405</v>
      </c>
      <c r="P23" s="46" t="n">
        <f aca="false">IF(M23&lt;N$10,N$11,LOG((10^N$13)/(1+((10^N$13/10^N$11)-1)*EXP(-N$12*(M23-N$10)))))</f>
        <v>5.89435958679892</v>
      </c>
      <c r="Q23" s="72" t="n">
        <v>0.040787884</v>
      </c>
      <c r="R23" s="74" t="n">
        <f aca="false">IF(M23&lt;$N$15,$N$16,$N$14*(LOG((10^$N$13)/(1+((10^$N$13/10^$N$11)-1)*EXP(-$N$12*(M23-$N$15))))-$N$11))</f>
        <v>0.00815701939431153</v>
      </c>
      <c r="S23" s="28" t="n">
        <f aca="false">(Q23-R23)^2</f>
        <v>0.00106477332491477</v>
      </c>
      <c r="AB23" s="10"/>
      <c r="AC23" s="69"/>
      <c r="AD23" s="28"/>
    </row>
    <row r="24" customFormat="false" ht="15" hidden="false" customHeight="false" outlineLevel="0" collapsed="false">
      <c r="A24" s="0" t="n">
        <f aca="false">Q24/C24</f>
        <v>0</v>
      </c>
      <c r="B24" s="43" t="n">
        <v>9.00000000005821</v>
      </c>
      <c r="C24" s="48" t="n">
        <v>6.52374646681157</v>
      </c>
      <c r="D24" s="45" t="n">
        <f aca="false">(C24-AVERAGE(C$21:C$57))^2</f>
        <v>0.464846915582319</v>
      </c>
      <c r="E24" s="46" t="n">
        <f aca="false">IF(B24&lt;$C$10,$C$11,LOG((10^$C$13)/(1+((10^$C$13/10^$C$11)-1)*EXP(-$C$12*(B24-$C$10)))))</f>
        <v>6.45519319125769</v>
      </c>
      <c r="F24" s="28" t="n">
        <f aca="false">(Q24-G24)^2</f>
        <v>0</v>
      </c>
      <c r="G24" s="0" t="n">
        <f aca="false">IF(B24&lt;$C$15,$C$16,$C$14*(LOG((10^$C$13)/(1+((10^$C$13/10^$C$11)-1)*EXP(-$C$12*(B24-$C$15))))-$C$11))</f>
        <v>0</v>
      </c>
      <c r="L24" s="10"/>
      <c r="M24" s="43" t="n">
        <v>9</v>
      </c>
      <c r="N24" s="44" t="n">
        <v>6.4</v>
      </c>
      <c r="O24" s="45" t="n">
        <f aca="false">(N24-AVERAGE(N$21:N$53))^2</f>
        <v>1.29132231404959</v>
      </c>
      <c r="P24" s="46" t="n">
        <f aca="false">IF(M24&lt;N$10,N$11,LOG((10^N$13)/(1+((10^N$13/10^N$11)-1)*EXP(-N$12*(M24-N$10)))))</f>
        <v>6.40976669881511</v>
      </c>
      <c r="Q24" s="72" t="n">
        <v>0</v>
      </c>
      <c r="R24" s="74" t="n">
        <f aca="false">IF(M24&lt;$N$15,$N$16,$N$14*(LOG((10^$N$13)/(1+((10^$N$13/10^$N$11)-1)*EXP(-$N$12*(M24-$N$15))))-$N$11))</f>
        <v>0.00815701939431153</v>
      </c>
      <c r="S24" s="28" t="n">
        <f aca="false">(Q24-R24)^2</f>
        <v>6.65369653991744E-005</v>
      </c>
      <c r="AB24" s="10"/>
      <c r="AC24" s="69"/>
      <c r="AD24" s="28"/>
    </row>
    <row r="25" customFormat="false" ht="15" hidden="false" customHeight="false" outlineLevel="0" collapsed="false">
      <c r="A25" s="0" t="n">
        <f aca="false">Q25/C25</f>
        <v>0</v>
      </c>
      <c r="B25" s="43" t="n">
        <v>12.0000000000582</v>
      </c>
      <c r="C25" s="48" t="n">
        <v>6.88081359228079</v>
      </c>
      <c r="D25" s="45" t="n">
        <f aca="false">(C25-AVERAGE(C$21:C$57))^2</f>
        <v>0.105449380139838</v>
      </c>
      <c r="E25" s="46" t="n">
        <f aca="false">IF(B25&lt;$C$10,$C$11,LOG((10^$C$13)/(1+((10^$C$13/10^$C$11)-1)*EXP(-$C$12*(B25-$C$10)))))</f>
        <v>6.90896041887477</v>
      </c>
      <c r="F25" s="28" t="n">
        <f aca="false">(Q25-G25)^2</f>
        <v>0</v>
      </c>
      <c r="G25" s="0" t="n">
        <f aca="false">IF(B25&lt;$C$15,$C$16,$C$14*(LOG((10^$C$13)/(1+((10^$C$13/10^$C$11)-1)*EXP(-$C$12*(B25-$C$15))))-$C$11))</f>
        <v>0</v>
      </c>
      <c r="L25" s="10"/>
      <c r="M25" s="43" t="n">
        <v>12.17</v>
      </c>
      <c r="N25" s="44" t="n">
        <v>6.83</v>
      </c>
      <c r="O25" s="45" t="n">
        <f aca="false">(N25-AVERAGE(N$21:N$53))^2</f>
        <v>0.49894958677686</v>
      </c>
      <c r="P25" s="46" t="n">
        <f aca="false">IF(M25&lt;N$10,N$11,LOG((10^N$13)/(1+((10^N$13/10^N$11)-1)*EXP(-N$12*(M25-N$10)))))</f>
        <v>6.94532348402946</v>
      </c>
      <c r="Q25" s="72" t="n">
        <v>0</v>
      </c>
      <c r="R25" s="74" t="n">
        <f aca="false">IF(M25&lt;$N$15,$N$16,$N$14*(LOG((10^$N$13)/(1+((10^$N$13/10^$N$11)-1)*EXP(-$N$12*(M25-$N$15))))-$N$11))</f>
        <v>0.00815701939431153</v>
      </c>
      <c r="S25" s="28" t="n">
        <f aca="false">(Q25-R25)^2</f>
        <v>6.65369653991744E-005</v>
      </c>
      <c r="AB25" s="10"/>
      <c r="AC25" s="69"/>
      <c r="AD25" s="28"/>
    </row>
    <row r="26" customFormat="false" ht="15" hidden="false" customHeight="false" outlineLevel="0" collapsed="false">
      <c r="A26" s="0" t="e">
        <f aca="false">#REF!/C26</f>
        <v>#REF!</v>
      </c>
      <c r="B26" s="43" t="n">
        <v>24.4166666666861</v>
      </c>
      <c r="C26" s="48" t="n">
        <v>8.11394335230684</v>
      </c>
      <c r="D26" s="45" t="n">
        <f aca="false">(C26-AVERAGE(C$21:C$57))^2</f>
        <v>0.825190663243023</v>
      </c>
      <c r="E26" s="46" t="n">
        <f aca="false">IF(B26&lt;$C$10,$C$11,LOG((10^$C$13)/(1+((10^$C$13/10^$C$11)-1)*EXP(-$C$12*(B26-$C$10)))))</f>
        <v>8.00576856091372</v>
      </c>
      <c r="F26" s="28" t="e">
        <f aca="false">(#REF!-G26)^2</f>
        <v>#REF!</v>
      </c>
      <c r="G26" s="0" t="n">
        <f aca="false">IF(B26&lt;$C$15,$C$16,$C$14*(LOG((10^$C$13)/(1+((10^$C$13/10^$C$11)-1)*EXP(-$C$12*(B26-$C$15))))-$C$11))</f>
        <v>1.60968058417157</v>
      </c>
      <c r="L26" s="10"/>
      <c r="M26" s="43" t="n">
        <v>24.17</v>
      </c>
      <c r="N26" s="44" t="n">
        <v>8.46</v>
      </c>
      <c r="O26" s="45" t="n">
        <f aca="false">(N26-AVERAGE(N$21:N$53))^2</f>
        <v>0.853104132231405</v>
      </c>
      <c r="P26" s="46" t="n">
        <f aca="false">IF(M26&lt;N$10,N$11,LOG((10^N$13)/(1+((10^N$13/10^N$11)-1)*EXP(-N$12*(M26-N$10)))))</f>
        <v>8.25722775137797</v>
      </c>
      <c r="Q26" s="72" t="n">
        <v>1.854089683</v>
      </c>
      <c r="R26" s="0" t="n">
        <f aca="false">IF(M26&lt;$N$15,$N$16,$N$14*(LOG((10^$N$13)/(1+((10^$N$13/10^$N$11)-1)*EXP(-$N$12*(M26-$N$15))))-$N$11))</f>
        <v>1.76995818048465</v>
      </c>
      <c r="S26" s="28" t="n">
        <f aca="false">(Q26-R26)^2</f>
        <v>0.00707810971549056</v>
      </c>
      <c r="AB26" s="10"/>
      <c r="AC26" s="69"/>
      <c r="AD26" s="28"/>
    </row>
    <row r="27" customFormat="false" ht="15" hidden="false" customHeight="false" outlineLevel="0" collapsed="false">
      <c r="A27" s="0" t="e">
        <f aca="false">#REF!/C27</f>
        <v>#REF!</v>
      </c>
      <c r="B27" s="43" t="n">
        <v>27.25</v>
      </c>
      <c r="C27" s="48" t="n">
        <v>7.57978359661681</v>
      </c>
      <c r="D27" s="45" t="n">
        <f aca="false">(C27-AVERAGE(C$21:C$57))^2</f>
        <v>0.14005580299498</v>
      </c>
      <c r="E27" s="46" t="n">
        <f aca="false">IF(B27&lt;$C$10,$C$11,LOG((10^$C$13)/(1+((10^$C$13/10^$C$11)-1)*EXP(-$C$12*(B27-$C$10)))))</f>
        <v>8.04261812058601</v>
      </c>
      <c r="F27" s="28" t="e">
        <f aca="false">(#REF!-G27)^2</f>
        <v>#REF!</v>
      </c>
      <c r="G27" s="0" t="n">
        <f aca="false">IF(B27&lt;$C$15,$C$16,$C$14*(LOG((10^$C$13)/(1+((10^$C$13/10^$C$11)-1)*EXP(-$C$12*(B27-$C$15))))-$C$11))</f>
        <v>2.22671660021111</v>
      </c>
      <c r="L27" s="10"/>
      <c r="M27" s="43" t="n">
        <v>27.08</v>
      </c>
      <c r="N27" s="44" t="n">
        <v>8.3</v>
      </c>
      <c r="O27" s="45" t="n">
        <f aca="false">(N27-AVERAGE(N$21:N$53))^2</f>
        <v>0.583140495867769</v>
      </c>
      <c r="P27" s="46" t="n">
        <f aca="false">IF(M27&lt;N$10,N$11,LOG((10^N$13)/(1+((10^N$13/10^N$11)-1)*EXP(-N$12*(M27-N$10)))))</f>
        <v>8.30945881766734</v>
      </c>
      <c r="Q27" s="72" t="n">
        <v>2.473540609</v>
      </c>
      <c r="R27" s="0" t="n">
        <f aca="false">IF(M27&lt;$N$15,$N$16,$N$14*(LOG((10^$N$13)/(1+((10^$N$13/10^$N$11)-1)*EXP(-$N$12*(M27-$N$15))))-$N$11))</f>
        <v>2.35583984360055</v>
      </c>
      <c r="S27" s="28" t="n">
        <f aca="false">(Q27-R27)^2</f>
        <v>0.0138534701756156</v>
      </c>
      <c r="AB27" s="10"/>
      <c r="AC27" s="69"/>
      <c r="AD27" s="28"/>
    </row>
    <row r="28" customFormat="false" ht="15" hidden="false" customHeight="false" outlineLevel="0" collapsed="false">
      <c r="A28" s="0" t="e">
        <f aca="false">#REF!/C28</f>
        <v>#REF!</v>
      </c>
      <c r="B28" s="43" t="n">
        <v>30.0000000000582</v>
      </c>
      <c r="C28" s="48" t="n">
        <v>8.09342168516224</v>
      </c>
      <c r="D28" s="45" t="n">
        <f aca="false">(C28-AVERAGE(C$21:C$57))^2</f>
        <v>0.788328034864742</v>
      </c>
      <c r="E28" s="46" t="n">
        <f aca="false">IF(B28&lt;$C$10,$C$11,LOG((10^$C$13)/(1+((10^$C$13/10^$C$11)-1)*EXP(-$C$12*(B28-$C$10)))))</f>
        <v>8.05630386861232</v>
      </c>
      <c r="F28" s="28" t="e">
        <f aca="false">(#REF!-G28)^2</f>
        <v>#REF!</v>
      </c>
      <c r="G28" s="0" t="n">
        <f aca="false">IF(B28&lt;$C$15,$C$16,$C$14*(LOG((10^$C$13)/(1+((10^$C$13/10^$C$11)-1)*EXP(-$C$12*(B28-$C$15))))-$C$11))</f>
        <v>2.79431303244187</v>
      </c>
      <c r="L28" s="10"/>
      <c r="M28" s="43" t="n">
        <v>30.08</v>
      </c>
      <c r="N28" s="44" t="n">
        <v>8.29</v>
      </c>
      <c r="O28" s="45" t="n">
        <f aca="false">(N28-AVERAGE(N$21:N$53))^2</f>
        <v>0.567967768595039</v>
      </c>
      <c r="P28" s="46" t="n">
        <f aca="false">IF(M28&lt;N$10,N$11,LOG((10^N$13)/(1+((10^N$13/10^N$11)-1)*EXP(-N$12*(M28-N$10)))))</f>
        <v>8.32752218943537</v>
      </c>
      <c r="Q28" s="72" t="n">
        <v>2.995381085</v>
      </c>
      <c r="R28" s="0" t="n">
        <f aca="false">IF(M28&lt;$N$15,$N$16,$N$14*(LOG((10^$N$13)/(1+((10^$N$13/10^$N$11)-1)*EXP(-$N$12*(M28-$N$15))))-$N$11))</f>
        <v>2.93485396633684</v>
      </c>
      <c r="S28" s="28" t="n">
        <f aca="false">(Q28-R28)^2</f>
        <v>0.00366353209366444</v>
      </c>
      <c r="AB28" s="10"/>
      <c r="AC28" s="69"/>
    </row>
    <row r="29" customFormat="false" ht="15" hidden="false" customHeight="false" outlineLevel="0" collapsed="false">
      <c r="A29" s="0" t="n">
        <f aca="false">Q26/C29</f>
        <v>0.229086010234599</v>
      </c>
      <c r="B29" s="43" t="n">
        <v>33.0000000000582</v>
      </c>
      <c r="C29" s="48" t="n">
        <v>8.09342168516224</v>
      </c>
      <c r="D29" s="45" t="n">
        <f aca="false">(C29-AVERAGE(C$21:C$57))^2</f>
        <v>0.788328034864742</v>
      </c>
      <c r="E29" s="46" t="n">
        <f aca="false">IF(B29&lt;$C$10,$C$11,LOG((10^$C$13)/(1+((10^$C$13/10^$C$11)-1)*EXP(-$C$12*(B29-$C$10)))))</f>
        <v>8.06170323478475</v>
      </c>
      <c r="F29" s="28" t="n">
        <f aca="false">(Q26-G29)^2</f>
        <v>2.18544534577618</v>
      </c>
      <c r="G29" s="0" t="n">
        <f aca="false">IF(B29&lt;$C$15,$C$16,$C$14*(LOG((10^$C$13)/(1+((10^$C$13/10^$C$11)-1)*EXP(-$C$12*(B29-$C$15))))-$C$11))</f>
        <v>3.33241486569026</v>
      </c>
      <c r="L29" s="10"/>
      <c r="M29" s="43" t="n">
        <v>33.08</v>
      </c>
      <c r="N29" s="44" t="n">
        <v>8.33</v>
      </c>
      <c r="O29" s="45" t="n">
        <f aca="false">(N29-AVERAGE(N$21:N$53))^2</f>
        <v>0.62985867768595</v>
      </c>
      <c r="P29" s="46" t="n">
        <f aca="false">IF(M29&lt;N$10,N$11,LOG((10^N$13)/(1+((10^N$13/10^N$11)-1)*EXP(-N$12*(M29-N$10)))))</f>
        <v>8.33314112224672</v>
      </c>
      <c r="Q29" s="72" t="n">
        <v>3.089237286</v>
      </c>
      <c r="R29" s="0" t="n">
        <f aca="false">IF(M29&lt;$N$15,$N$16,$N$14*(LOG((10^$N$13)/(1+((10^$N$13/10^$N$11)-1)*EXP(-$N$12*(M29-$N$15))))-$N$11))</f>
        <v>3.44487662284484</v>
      </c>
      <c r="S29" s="28" t="n">
        <f aca="false">(Q29-R29)^2</f>
        <v>0.126479337911435</v>
      </c>
      <c r="AB29" s="10"/>
      <c r="AC29" s="69"/>
      <c r="AD29" s="69"/>
    </row>
    <row r="30" customFormat="false" ht="15" hidden="false" customHeight="false" outlineLevel="0" collapsed="false">
      <c r="A30" s="0" t="n">
        <f aca="false">Q27/C30</f>
        <v>0.305361414668976</v>
      </c>
      <c r="B30" s="43" t="n">
        <v>35.8333333333721</v>
      </c>
      <c r="C30" s="48" t="n">
        <v>8.10037054511756</v>
      </c>
      <c r="D30" s="45" t="n">
        <f aca="false">(C30-AVERAGE(C$21:C$57))^2</f>
        <v>0.800715806693948</v>
      </c>
      <c r="E30" s="46" t="n">
        <f aca="false">IF(B30&lt;$C$10,$C$11,LOG((10^$C$13)/(1+((10^$C$13/10^$C$11)-1)*EXP(-$C$12*(B30-$C$10)))))</f>
        <v>8.06347157820443</v>
      </c>
      <c r="F30" s="28" t="n">
        <f aca="false">(Q27-G30)^2</f>
        <v>1.51237232923313</v>
      </c>
      <c r="G30" s="0" t="n">
        <f aca="false">IF(B30&lt;$C$15,$C$16,$C$14*(LOG((10^$C$13)/(1+((10^$C$13/10^$C$11)-1)*EXP(-$C$12*(B30-$C$15))))-$C$11))</f>
        <v>3.70332608998159</v>
      </c>
      <c r="L30" s="10"/>
      <c r="M30" s="43" t="n">
        <v>35.83</v>
      </c>
      <c r="N30" s="44" t="n">
        <v>8.32</v>
      </c>
      <c r="O30" s="45" t="n">
        <f aca="false">(N30-AVERAGE(N$21:N$53))^2</f>
        <v>0.614085950413223</v>
      </c>
      <c r="P30" s="46" t="n">
        <f aca="false">IF(M30&lt;N$10,N$11,LOG((10^N$13)/(1+((10^N$13/10^N$11)-1)*EXP(-N$12*(M30-N$10)))))</f>
        <v>8.33477819135702</v>
      </c>
      <c r="Q30" s="72" t="n">
        <v>3.80629866</v>
      </c>
      <c r="R30" s="0" t="n">
        <f aca="false">IF(M30&lt;$N$15,$N$16,$N$14*(LOG((10^$N$13)/(1+((10^$N$13/10^$N$11)-1)*EXP(-$N$12*(M30-$N$15))))-$N$11))</f>
        <v>3.79025719896923</v>
      </c>
      <c r="S30" s="28" t="n">
        <f aca="false">(Q30-R30)^2</f>
        <v>0.000257328472001755</v>
      </c>
      <c r="AB30" s="10"/>
      <c r="AC30" s="69"/>
      <c r="AD30" s="69"/>
    </row>
    <row r="31" customFormat="false" ht="15" hidden="false" customHeight="false" outlineLevel="0" collapsed="false">
      <c r="A31" s="0" t="n">
        <f aca="false">Q28/C31</f>
        <v>0.366619967553292</v>
      </c>
      <c r="B31" s="43" t="n">
        <v>48.5000000001164</v>
      </c>
      <c r="C31" s="48" t="n">
        <v>8.17026171539496</v>
      </c>
      <c r="D31" s="45" t="n">
        <f aca="false">(C31-AVERAGE(C$21:C$57))^2</f>
        <v>0.930681629723236</v>
      </c>
      <c r="E31" s="46" t="n">
        <f aca="false">IF(B31&lt;$C$10,$C$11,LOG((10^$C$13)/(1+((10^$C$13/10^$C$11)-1)*EXP(-$C$12*(B31-$C$10)))))</f>
        <v>8.06444413088548</v>
      </c>
      <c r="F31" s="28" t="n">
        <f aca="false">(Q28-G31)^2</f>
        <v>1.16345754999667</v>
      </c>
      <c r="G31" s="0" t="n">
        <f aca="false">IF(B31&lt;$C$15,$C$16,$C$14*(LOG((10^$C$13)/(1+((10^$C$13/10^$C$11)-1)*EXP(-$C$12*(B31-$C$15))))-$C$11))</f>
        <v>4.07401797941659</v>
      </c>
      <c r="L31" s="10"/>
      <c r="M31" s="43" t="n">
        <v>48.25</v>
      </c>
      <c r="N31" s="44" t="n">
        <v>8.37</v>
      </c>
      <c r="O31" s="45" t="n">
        <f aca="false">(N31-AVERAGE(N$21:N$53))^2</f>
        <v>0.694949586776857</v>
      </c>
      <c r="P31" s="46" t="n">
        <f aca="false">IF(M31&lt;N$10,N$11,LOG((10^N$13)/(1+((10^N$13/10^N$11)-1)*EXP(-N$12*(M31-N$10)))))</f>
        <v>8.33559705048598</v>
      </c>
      <c r="Q31" s="72" t="n">
        <v>4.369435865</v>
      </c>
      <c r="R31" s="0" t="n">
        <f aca="false">IF(M31&lt;$N$15,$N$16,$N$14*(LOG((10^$N$13)/(1+((10^$N$13/10^$N$11)-1)*EXP(-$N$12*(M31-$N$15))))-$N$11))</f>
        <v>4.12345738217733</v>
      </c>
      <c r="S31" s="28" t="n">
        <f aca="false">(Q31-R31)^2</f>
        <v>0.0605054140117438</v>
      </c>
      <c r="AB31" s="10"/>
      <c r="AC31" s="69"/>
      <c r="AD31" s="69"/>
    </row>
    <row r="32" customFormat="false" ht="15" hidden="false" customHeight="false" outlineLevel="0" collapsed="false">
      <c r="A32" s="0" t="n">
        <f aca="false">Q29/C32</f>
        <v>0.376736254390244</v>
      </c>
      <c r="B32" s="43" t="n">
        <v>54.0000000000582</v>
      </c>
      <c r="C32" s="48" t="n">
        <v>8.2</v>
      </c>
      <c r="D32" s="45" t="n">
        <f aca="false">(C32-AVERAGE(C$21:C$57))^2</f>
        <v>0.988944137164802</v>
      </c>
      <c r="E32" s="46" t="n">
        <f aca="false">IF(B32&lt;$C$10,$C$11,LOG((10^$C$13)/(1+((10^$C$13/10^$C$11)-1)*EXP(-$C$12*(B32-$C$10)))))</f>
        <v>8.0644525765368</v>
      </c>
      <c r="F32" s="28" t="n">
        <f aca="false">(Q29-G32)^2</f>
        <v>0.978522355868328</v>
      </c>
      <c r="G32" s="0" t="n">
        <f aca="false">IF(B32&lt;$C$15,$C$16,$C$14*(LOG((10^$C$13)/(1+((10^$C$13/10^$C$11)-1)*EXP(-$C$12*(B32-$C$15))))-$C$11))</f>
        <v>4.07844017513262</v>
      </c>
      <c r="L32" s="10"/>
      <c r="M32" s="43" t="n">
        <v>54.08</v>
      </c>
      <c r="N32" s="44" t="n">
        <v>8.2</v>
      </c>
      <c r="O32" s="45" t="n">
        <f aca="false">(N32-AVERAGE(N$21:N$53))^2</f>
        <v>0.440413223140494</v>
      </c>
      <c r="P32" s="46" t="n">
        <f aca="false">IF(M32&lt;N$10,N$11,LOG((10^N$13)/(1+((10^N$13/10^N$11)-1)*EXP(-N$12*(M32-N$10)))))</f>
        <v>8.33560233720127</v>
      </c>
      <c r="Q32" s="72" t="n">
        <v>4.01653655</v>
      </c>
      <c r="R32" s="73" t="n">
        <f aca="false">IF(M32&lt;$N$15,$N$16,$N$14*(LOG((10^$N$13)/(1+((10^$N$13/10^$N$11)-1)*EXP(-$N$12*(M32-$N$15))))-$N$11))</f>
        <v>4.1264876822908</v>
      </c>
      <c r="S32" s="28" t="n">
        <f aca="false">(Q32-R32)^2</f>
        <v>0.0120892514920298</v>
      </c>
      <c r="AB32" s="10"/>
    </row>
    <row r="33" customFormat="false" ht="15" hidden="false" customHeight="false" outlineLevel="0" collapsed="false">
      <c r="B33" s="43"/>
      <c r="C33" s="48"/>
      <c r="D33" s="45"/>
      <c r="E33" s="46"/>
      <c r="F33" s="28"/>
      <c r="L33" s="10"/>
      <c r="M33" s="43"/>
      <c r="N33" s="48"/>
      <c r="O33" s="45"/>
      <c r="P33" s="46"/>
      <c r="Q33" s="46"/>
      <c r="R33" s="28"/>
      <c r="AB33" s="10"/>
    </row>
    <row r="34" customFormat="false" ht="15" hidden="false" customHeight="false" outlineLevel="0" collapsed="false">
      <c r="B34" s="43"/>
      <c r="C34" s="48"/>
      <c r="D34" s="45"/>
      <c r="E34" s="46"/>
      <c r="F34" s="28"/>
      <c r="L34" s="10"/>
      <c r="M34" s="43"/>
      <c r="N34" s="48"/>
      <c r="O34" s="45"/>
      <c r="P34" s="46"/>
      <c r="Q34" s="46"/>
      <c r="R34" s="28"/>
      <c r="AB34" s="10"/>
    </row>
    <row r="35" customFormat="false" ht="15" hidden="false" customHeight="false" outlineLevel="0" collapsed="false">
      <c r="B35" s="43"/>
      <c r="C35" s="48"/>
      <c r="D35" s="45"/>
      <c r="E35" s="46"/>
      <c r="F35" s="28"/>
      <c r="L35" s="10"/>
      <c r="M35" s="43"/>
      <c r="N35" s="48"/>
      <c r="O35" s="45"/>
      <c r="P35" s="46"/>
      <c r="Q35" s="46"/>
      <c r="R35" s="28"/>
      <c r="AB35" s="10"/>
    </row>
    <row r="36" customFormat="false" ht="15" hidden="false" customHeight="false" outlineLevel="0" collapsed="false">
      <c r="B36" s="43"/>
      <c r="C36" s="48"/>
      <c r="D36" s="45"/>
      <c r="E36" s="46"/>
      <c r="F36" s="28"/>
      <c r="L36" s="10"/>
      <c r="M36" s="43"/>
      <c r="N36" s="48"/>
      <c r="O36" s="45"/>
      <c r="P36" s="46"/>
      <c r="Q36" s="46"/>
      <c r="R36" s="28"/>
      <c r="AB36" s="10"/>
    </row>
    <row r="37" customFormat="false" ht="15" hidden="false" customHeight="false" outlineLevel="0" collapsed="false">
      <c r="B37" s="43"/>
      <c r="C37" s="48"/>
      <c r="D37" s="45"/>
      <c r="E37" s="46"/>
      <c r="F37" s="28"/>
      <c r="L37" s="10"/>
      <c r="M37" s="43"/>
      <c r="N37" s="48"/>
      <c r="O37" s="45"/>
      <c r="P37" s="46"/>
      <c r="Q37" s="46"/>
      <c r="R37" s="28"/>
      <c r="AB37" s="10"/>
    </row>
    <row r="38" customFormat="false" ht="15" hidden="false" customHeight="false" outlineLevel="0" collapsed="false">
      <c r="B38" s="43"/>
      <c r="C38" s="48"/>
      <c r="D38" s="45"/>
      <c r="E38" s="46"/>
      <c r="F38" s="28"/>
      <c r="L38" s="10"/>
      <c r="M38" s="43"/>
      <c r="N38" s="48"/>
      <c r="O38" s="45"/>
      <c r="P38" s="46"/>
      <c r="Q38" s="46"/>
      <c r="R38" s="28"/>
      <c r="AB38" s="10"/>
    </row>
    <row r="39" customFormat="false" ht="15" hidden="false" customHeight="false" outlineLevel="0" collapsed="false">
      <c r="B39" s="43"/>
      <c r="C39" s="48"/>
      <c r="D39" s="45"/>
      <c r="E39" s="46"/>
      <c r="F39" s="28"/>
      <c r="L39" s="10"/>
      <c r="M39" s="43"/>
      <c r="N39" s="48"/>
      <c r="O39" s="45"/>
      <c r="P39" s="46"/>
      <c r="Q39" s="46"/>
      <c r="R39" s="28"/>
      <c r="AB39" s="10"/>
    </row>
    <row r="40" customFormat="false" ht="15" hidden="false" customHeight="false" outlineLevel="0" collapsed="false">
      <c r="B40" s="43"/>
      <c r="C40" s="48"/>
      <c r="D40" s="45"/>
      <c r="E40" s="46"/>
      <c r="F40" s="28"/>
      <c r="L40" s="10"/>
      <c r="M40" s="43"/>
      <c r="N40" s="48"/>
      <c r="O40" s="45"/>
      <c r="P40" s="46"/>
      <c r="Q40" s="46"/>
      <c r="R40" s="28"/>
      <c r="AB40" s="10"/>
    </row>
    <row r="41" customFormat="false" ht="15" hidden="false" customHeight="false" outlineLevel="0" collapsed="false">
      <c r="B41" s="43"/>
      <c r="C41" s="48"/>
      <c r="D41" s="45"/>
      <c r="E41" s="46"/>
      <c r="F41" s="28"/>
      <c r="L41" s="10"/>
      <c r="M41" s="43"/>
      <c r="N41" s="48"/>
      <c r="O41" s="45"/>
      <c r="P41" s="46"/>
      <c r="Q41" s="46"/>
      <c r="R41" s="28"/>
      <c r="AB41" s="10"/>
    </row>
    <row r="42" customFormat="false" ht="15" hidden="false" customHeight="false" outlineLevel="0" collapsed="false">
      <c r="B42" s="43"/>
      <c r="C42" s="48"/>
      <c r="D42" s="45"/>
      <c r="E42" s="46"/>
      <c r="F42" s="28"/>
      <c r="L42" s="10"/>
      <c r="M42" s="43"/>
      <c r="N42" s="48"/>
      <c r="O42" s="45"/>
      <c r="P42" s="46"/>
      <c r="Q42" s="46"/>
      <c r="R42" s="28"/>
      <c r="AB42" s="10"/>
    </row>
    <row r="43" customFormat="false" ht="15" hidden="false" customHeight="false" outlineLevel="0" collapsed="false">
      <c r="B43" s="43"/>
      <c r="C43" s="48"/>
      <c r="D43" s="45"/>
      <c r="E43" s="46"/>
      <c r="F43" s="28"/>
      <c r="L43" s="10"/>
      <c r="M43" s="43"/>
      <c r="N43" s="48"/>
      <c r="O43" s="45"/>
      <c r="P43" s="46"/>
      <c r="Q43" s="46"/>
      <c r="R43" s="28"/>
      <c r="AB43" s="10"/>
    </row>
    <row r="44" customFormat="false" ht="15" hidden="false" customHeight="false" outlineLevel="0" collapsed="false">
      <c r="B44" s="43"/>
      <c r="C44" s="48"/>
      <c r="D44" s="45"/>
      <c r="E44" s="46"/>
      <c r="F44" s="28"/>
      <c r="L44" s="10"/>
      <c r="M44" s="43"/>
      <c r="N44" s="48"/>
      <c r="O44" s="45"/>
      <c r="P44" s="46"/>
      <c r="Q44" s="46"/>
      <c r="R44" s="28"/>
      <c r="AB44" s="10"/>
    </row>
    <row r="45" customFormat="false" ht="15" hidden="false" customHeight="false" outlineLevel="0" collapsed="false">
      <c r="B45" s="43"/>
      <c r="C45" s="48"/>
      <c r="D45" s="45"/>
      <c r="E45" s="46"/>
      <c r="F45" s="28"/>
      <c r="L45" s="10"/>
      <c r="M45" s="43"/>
      <c r="N45" s="48"/>
      <c r="O45" s="45"/>
      <c r="P45" s="46"/>
      <c r="Q45" s="46"/>
      <c r="R45" s="28"/>
      <c r="AB45" s="10"/>
    </row>
    <row r="46" customFormat="false" ht="15" hidden="false" customHeight="false" outlineLevel="0" collapsed="false">
      <c r="B46" s="43"/>
      <c r="C46" s="48"/>
      <c r="D46" s="45"/>
      <c r="E46" s="46"/>
      <c r="F46" s="28"/>
      <c r="H46" s="0" t="n">
        <f aca="false">LOG(2)</f>
        <v>0.301029995663981</v>
      </c>
      <c r="L46" s="10"/>
      <c r="M46" s="43"/>
      <c r="N46" s="48"/>
      <c r="O46" s="45"/>
      <c r="P46" s="46"/>
      <c r="Q46" s="46"/>
      <c r="R46" s="28"/>
      <c r="AB46" s="10"/>
    </row>
    <row r="47" customFormat="false" ht="15" hidden="false" customHeight="false" outlineLevel="0" collapsed="false">
      <c r="B47" s="43"/>
      <c r="C47" s="48"/>
      <c r="D47" s="45"/>
      <c r="E47" s="46"/>
      <c r="F47" s="28"/>
      <c r="H47" s="0" t="n">
        <f aca="false">LN(2)</f>
        <v>0.693147180559945</v>
      </c>
      <c r="L47" s="10"/>
      <c r="M47" s="43"/>
      <c r="N47" s="48"/>
      <c r="O47" s="45"/>
      <c r="P47" s="46"/>
      <c r="Q47" s="46"/>
      <c r="R47" s="28"/>
      <c r="AB47" s="10"/>
    </row>
    <row r="48" customFormat="false" ht="15" hidden="false" customHeight="false" outlineLevel="0" collapsed="false">
      <c r="B48" s="43"/>
      <c r="C48" s="48"/>
      <c r="D48" s="45"/>
      <c r="E48" s="46"/>
      <c r="F48" s="28"/>
      <c r="L48" s="10"/>
      <c r="M48" s="43"/>
      <c r="N48" s="48"/>
      <c r="O48" s="45"/>
      <c r="P48" s="46"/>
      <c r="Q48" s="46"/>
      <c r="R48" s="28"/>
      <c r="AB48" s="10"/>
    </row>
    <row r="49" customFormat="false" ht="15" hidden="false" customHeight="false" outlineLevel="0" collapsed="false">
      <c r="B49" s="43"/>
      <c r="C49" s="48"/>
      <c r="D49" s="45"/>
      <c r="E49" s="46"/>
      <c r="F49" s="28"/>
      <c r="L49" s="10"/>
      <c r="M49" s="43"/>
      <c r="N49" s="48"/>
      <c r="O49" s="45"/>
      <c r="P49" s="46"/>
      <c r="Q49" s="46"/>
      <c r="R49" s="28"/>
      <c r="AB49" s="10"/>
    </row>
    <row r="50" customFormat="false" ht="15" hidden="false" customHeight="false" outlineLevel="0" collapsed="false">
      <c r="B50" s="43"/>
      <c r="C50" s="48"/>
      <c r="D50" s="45"/>
      <c r="E50" s="46"/>
      <c r="F50" s="28"/>
      <c r="L50" s="10"/>
      <c r="M50" s="43"/>
      <c r="N50" s="48"/>
      <c r="O50" s="45"/>
      <c r="P50" s="46"/>
      <c r="Q50" s="46"/>
      <c r="R50" s="28"/>
      <c r="AB50" s="10"/>
    </row>
    <row r="51" customFormat="false" ht="15" hidden="false" customHeight="false" outlineLevel="0" collapsed="false">
      <c r="B51" s="43"/>
      <c r="C51" s="48"/>
      <c r="D51" s="45"/>
      <c r="E51" s="46"/>
      <c r="F51" s="28"/>
      <c r="L51" s="10"/>
      <c r="M51" s="43"/>
      <c r="N51" s="48"/>
      <c r="O51" s="45"/>
      <c r="P51" s="46"/>
      <c r="Q51" s="46"/>
      <c r="R51" s="28"/>
      <c r="AB51" s="10"/>
    </row>
    <row r="52" customFormat="false" ht="15" hidden="false" customHeight="false" outlineLevel="0" collapsed="false">
      <c r="B52" s="43"/>
      <c r="C52" s="48"/>
      <c r="D52" s="45"/>
      <c r="E52" s="46"/>
      <c r="F52" s="28"/>
      <c r="L52" s="10"/>
      <c r="M52" s="43"/>
      <c r="N52" s="48"/>
      <c r="O52" s="45"/>
      <c r="P52" s="46"/>
      <c r="Q52" s="46"/>
      <c r="R52" s="28"/>
      <c r="AB52" s="10"/>
    </row>
    <row r="53" customFormat="false" ht="15" hidden="false" customHeight="false" outlineLevel="0" collapsed="false">
      <c r="B53" s="43"/>
      <c r="C53" s="48"/>
      <c r="D53" s="45"/>
      <c r="E53" s="46"/>
      <c r="F53" s="28"/>
      <c r="L53" s="10"/>
      <c r="M53" s="43"/>
      <c r="N53" s="48"/>
      <c r="O53" s="45"/>
      <c r="P53" s="46"/>
      <c r="Q53" s="46"/>
      <c r="R53" s="28"/>
      <c r="AB53" s="10"/>
    </row>
    <row r="54" customFormat="false" ht="15.75" hidden="false" customHeight="false" outlineLevel="0" collapsed="false">
      <c r="B54" s="43"/>
      <c r="C54" s="48"/>
      <c r="D54" s="45"/>
      <c r="E54" s="46"/>
      <c r="F54" s="28"/>
      <c r="L54" s="10"/>
      <c r="M54" s="43"/>
      <c r="N54" s="53" t="s">
        <v>21</v>
      </c>
      <c r="O54" s="45"/>
      <c r="P54" s="46"/>
      <c r="Q54" s="51"/>
      <c r="R54" s="28"/>
      <c r="AB54" s="10"/>
    </row>
    <row r="55" customFormat="false" ht="15" hidden="false" customHeight="false" outlineLevel="0" collapsed="false">
      <c r="B55" s="43"/>
      <c r="C55" s="48"/>
      <c r="D55" s="45"/>
      <c r="E55" s="46"/>
      <c r="F55" s="28"/>
      <c r="L55" s="10"/>
      <c r="M55" s="43"/>
      <c r="O55" s="45"/>
      <c r="P55" s="46"/>
      <c r="R55" s="28"/>
      <c r="AB55" s="10"/>
    </row>
    <row r="56" customFormat="false" ht="15" hidden="false" customHeight="false" outlineLevel="0" collapsed="false">
      <c r="B56" s="43"/>
      <c r="C56" s="48"/>
      <c r="D56" s="45"/>
      <c r="E56" s="46"/>
      <c r="F56" s="28"/>
      <c r="L56" s="10"/>
      <c r="M56" s="43"/>
      <c r="O56" s="45"/>
      <c r="P56" s="46"/>
      <c r="R56" s="28"/>
      <c r="AB56" s="10"/>
    </row>
    <row r="57" customFormat="false" ht="15" hidden="false" customHeight="false" outlineLevel="0" collapsed="false">
      <c r="B57" s="43"/>
      <c r="C57" s="48"/>
      <c r="D57" s="45"/>
      <c r="E57" s="46"/>
      <c r="F57" s="28"/>
      <c r="L57" s="10"/>
      <c r="M57" s="43"/>
      <c r="O57" s="45"/>
      <c r="P57" s="46"/>
      <c r="R57" s="28"/>
      <c r="AB57" s="10"/>
    </row>
    <row r="58" customFormat="false" ht="15.75" hidden="false" customHeight="false" outlineLevel="0" collapsed="false">
      <c r="B58" s="49"/>
      <c r="C58" s="50" t="s">
        <v>21</v>
      </c>
      <c r="D58" s="50" t="n">
        <f aca="false">SUM(D21:D57)</f>
        <v>14.2023980775639</v>
      </c>
      <c r="E58" s="51"/>
      <c r="F58" s="51"/>
      <c r="G58" s="51"/>
      <c r="H58" s="51"/>
      <c r="I58" s="51"/>
      <c r="J58" s="51"/>
      <c r="K58" s="51"/>
      <c r="L58" s="52"/>
      <c r="M58" s="49"/>
      <c r="O58" s="54" t="n">
        <f aca="false">SUM(O21:O57)</f>
        <v>19.5822223140496</v>
      </c>
      <c r="P58" s="51"/>
      <c r="R58" s="51"/>
      <c r="S58" s="51"/>
      <c r="T58" s="51"/>
      <c r="U58" s="51"/>
      <c r="V58" s="51"/>
      <c r="W58" s="51"/>
      <c r="X58" s="51"/>
      <c r="Y58" s="51"/>
      <c r="Z58" s="51"/>
      <c r="AA58" s="51"/>
      <c r="AB58" s="52"/>
    </row>
    <row r="59" customFormat="false" ht="20.25" hidden="false" customHeight="false" outlineLevel="0" collapsed="false">
      <c r="E59" s="55" t="s">
        <v>38</v>
      </c>
    </row>
    <row r="60" customFormat="false" ht="15.75" hidden="false" customHeight="false" outlineLevel="0" collapsed="false">
      <c r="J60" s="56" t="s">
        <v>39</v>
      </c>
      <c r="K60" s="57" t="e">
        <f aca="false">($H$62-$H$65)/($H$63-$H$66)/($H$65/$H$66)</f>
        <v>#REF!</v>
      </c>
    </row>
    <row r="61" customFormat="false" ht="15.75" hidden="false" customHeight="false" outlineLevel="0" collapsed="false">
      <c r="G61" s="58"/>
      <c r="H61" s="58" t="s">
        <v>40</v>
      </c>
      <c r="J61" s="58"/>
      <c r="K61" s="59"/>
    </row>
    <row r="62" customFormat="false" ht="15.75" hidden="false" customHeight="false" outlineLevel="0" collapsed="false">
      <c r="F62" s="58"/>
      <c r="G62" s="58" t="s">
        <v>41</v>
      </c>
      <c r="H62" s="60" t="n">
        <f aca="false">O11</f>
        <v>0.225257365058492</v>
      </c>
      <c r="J62" s="61" t="s">
        <v>42</v>
      </c>
      <c r="K62" s="61" t="n">
        <f aca="false">_xlfn.F.INV.RT(0.05,1,H66)</f>
        <v>6.60789097370337</v>
      </c>
    </row>
    <row r="63" customFormat="false" ht="15.75" hidden="false" customHeight="false" outlineLevel="0" collapsed="false">
      <c r="F63" s="58"/>
      <c r="G63" s="58" t="s">
        <v>43</v>
      </c>
      <c r="H63" s="62" t="n">
        <f aca="false">$X$6-$X$8</f>
        <v>9</v>
      </c>
      <c r="J63" s="61" t="s">
        <v>44</v>
      </c>
      <c r="K63" s="61" t="n">
        <f aca="false">_xlfn.F.INV.RT(0.01,1,H66)</f>
        <v>16.2581770398337</v>
      </c>
    </row>
    <row r="64" customFormat="false" ht="15.75" hidden="false" customHeight="false" outlineLevel="0" collapsed="false">
      <c r="F64" s="58"/>
      <c r="G64" s="58"/>
      <c r="H64" s="58" t="s">
        <v>45</v>
      </c>
    </row>
    <row r="65" customFormat="false" ht="26.25" hidden="false" customHeight="false" outlineLevel="0" collapsed="false">
      <c r="F65" s="58"/>
      <c r="G65" s="58" t="s">
        <v>46</v>
      </c>
      <c r="H65" s="60" t="e">
        <f aca="false">D11</f>
        <v>#REF!</v>
      </c>
      <c r="J65" s="63" t="s">
        <v>47</v>
      </c>
    </row>
    <row r="66" customFormat="false" ht="15.75" hidden="false" customHeight="false" outlineLevel="0" collapsed="false">
      <c r="G66" s="58" t="s">
        <v>48</v>
      </c>
      <c r="H66" s="62" t="n">
        <f aca="false">$G$6-$G$8</f>
        <v>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3:AD66"/>
  <sheetViews>
    <sheetView showFormulas="false" showGridLines="true" showRowColHeaders="true" showZeros="true" rightToLeft="false" tabSelected="false" showOutlineSymbols="true" defaultGridColor="true" view="normal" topLeftCell="M1" colorId="64" zoomScale="85" zoomScaleNormal="85" zoomScalePageLayoutView="100" workbookViewId="0">
      <selection pane="topLeft" activeCell="M24" activeCellId="0" sqref="M24"/>
    </sheetView>
  </sheetViews>
  <sheetFormatPr defaultColWidth="11.42578125" defaultRowHeight="15" zeroHeight="false" outlineLevelRow="0" outlineLevelCol="0"/>
  <cols>
    <col collapsed="false" customWidth="true" hidden="true" outlineLevel="0" max="12" min="1" style="0" width="11.53"/>
  </cols>
  <sheetData>
    <row r="3" customFormat="false" ht="45.75" hidden="false" customHeight="false" outlineLevel="0" collapsed="false">
      <c r="B3" s="1"/>
    </row>
    <row r="4" customFormat="false" ht="15.75" hidden="false" customHeight="false" outlineLevel="0" collapsed="false">
      <c r="B4" s="2" t="s">
        <v>0</v>
      </c>
      <c r="C4" s="3"/>
      <c r="D4" s="3"/>
      <c r="E4" s="4"/>
      <c r="F4" s="4"/>
      <c r="G4" s="4"/>
      <c r="H4" s="4"/>
      <c r="I4" s="4"/>
      <c r="J4" s="4"/>
      <c r="K4" s="4"/>
      <c r="L4" s="5"/>
      <c r="M4" s="6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5"/>
    </row>
    <row r="5" customFormat="false" ht="16.5" hidden="false" customHeight="false" outlineLevel="0" collapsed="false">
      <c r="B5" s="7" t="s">
        <v>1</v>
      </c>
      <c r="C5" s="8"/>
      <c r="D5" s="8"/>
      <c r="G5" s="9" t="s">
        <v>2</v>
      </c>
      <c r="K5" s="9" t="s">
        <v>3</v>
      </c>
      <c r="L5" s="10"/>
      <c r="M5" s="7" t="s">
        <v>4</v>
      </c>
      <c r="W5" s="8"/>
      <c r="X5" s="9" t="s">
        <v>2</v>
      </c>
      <c r="Z5" s="9" t="s">
        <v>5</v>
      </c>
      <c r="AB5" s="10"/>
    </row>
    <row r="6" customFormat="false" ht="17.25" hidden="false" customHeight="false" outlineLevel="0" collapsed="false">
      <c r="B6" s="11" t="s">
        <v>49</v>
      </c>
      <c r="C6" s="12" t="s">
        <v>50</v>
      </c>
      <c r="D6" s="13"/>
      <c r="E6" s="14"/>
      <c r="F6" s="14"/>
      <c r="G6" s="15" t="n">
        <f aca="false">COUNT(F21:F36)</f>
        <v>9</v>
      </c>
      <c r="L6" s="10"/>
      <c r="M6" s="16"/>
      <c r="N6" s="12" t="s">
        <v>8</v>
      </c>
      <c r="O6" s="14"/>
      <c r="P6" s="12"/>
      <c r="Q6" s="12"/>
      <c r="R6" s="12"/>
      <c r="W6" s="8"/>
      <c r="X6" s="15" t="n">
        <f aca="false">COUNT(S21:S45)</f>
        <v>12</v>
      </c>
      <c r="AB6" s="10"/>
    </row>
    <row r="7" customFormat="false" ht="17.25" hidden="false" customHeight="false" outlineLevel="0" collapsed="false">
      <c r="B7" s="11" t="s">
        <v>51</v>
      </c>
      <c r="C7" s="12" t="s">
        <v>52</v>
      </c>
      <c r="D7" s="13"/>
      <c r="E7" s="14"/>
      <c r="F7" s="14"/>
      <c r="G7" s="9" t="s">
        <v>11</v>
      </c>
      <c r="L7" s="10"/>
      <c r="M7" s="16"/>
      <c r="N7" s="12" t="s">
        <v>52</v>
      </c>
      <c r="X7" s="9" t="s">
        <v>11</v>
      </c>
      <c r="AB7" s="10"/>
    </row>
    <row r="8" customFormat="false" ht="15.75" hidden="false" customHeight="false" outlineLevel="0" collapsed="false">
      <c r="B8" s="16"/>
      <c r="E8" s="17"/>
      <c r="F8" s="17"/>
      <c r="G8" s="15" t="n">
        <f aca="false">COUNT(C10:C13)</f>
        <v>4</v>
      </c>
      <c r="L8" s="10"/>
      <c r="M8" s="16"/>
      <c r="X8" s="15" t="n">
        <f aca="false">COUNT(N11:N13)</f>
        <v>3</v>
      </c>
      <c r="AB8" s="10"/>
    </row>
    <row r="9" customFormat="false" ht="15.75" hidden="false" customHeight="false" outlineLevel="0" collapsed="false">
      <c r="B9" s="18" t="s">
        <v>12</v>
      </c>
      <c r="G9" s="19" t="s">
        <v>13</v>
      </c>
      <c r="L9" s="10"/>
      <c r="M9" s="18" t="s">
        <v>12</v>
      </c>
      <c r="P9" s="8"/>
      <c r="Q9" s="8"/>
      <c r="X9" s="19" t="s">
        <v>13</v>
      </c>
      <c r="AB9" s="10"/>
    </row>
    <row r="10" customFormat="false" ht="15.75" hidden="false" customHeight="false" outlineLevel="0" collapsed="false">
      <c r="B10" s="20" t="s">
        <v>14</v>
      </c>
      <c r="C10" s="24" t="n">
        <v>0.972171369313439</v>
      </c>
      <c r="D10" s="22" t="s">
        <v>15</v>
      </c>
      <c r="G10" s="23" t="e">
        <f aca="false">D11/(G6-G8)</f>
        <v>#REF!</v>
      </c>
      <c r="L10" s="10"/>
      <c r="M10" s="20" t="s">
        <v>16</v>
      </c>
      <c r="N10" s="24" t="n">
        <v>0</v>
      </c>
      <c r="O10" s="22" t="s">
        <v>15</v>
      </c>
      <c r="X10" s="23" t="n">
        <f aca="false">O11/(X6-X8)</f>
        <v>0.0250285961176102</v>
      </c>
      <c r="AB10" s="10"/>
    </row>
    <row r="11" customFormat="false" ht="17.25" hidden="false" customHeight="false" outlineLevel="0" collapsed="false">
      <c r="B11" s="25" t="s">
        <v>17</v>
      </c>
      <c r="C11" s="64" t="n">
        <v>5.19587650623435</v>
      </c>
      <c r="D11" s="27" t="e">
        <f aca="false">SUM(F21:F57)</f>
        <v>#REF!</v>
      </c>
      <c r="G11" s="28"/>
      <c r="L11" s="10"/>
      <c r="M11" s="25" t="s">
        <v>17</v>
      </c>
      <c r="N11" s="26" t="n">
        <v>4.85776139456691</v>
      </c>
      <c r="O11" s="27" t="n">
        <f aca="false">SUM(S21:S45)</f>
        <v>0.225257365058492</v>
      </c>
      <c r="X11" s="28"/>
      <c r="AB11" s="10"/>
    </row>
    <row r="12" customFormat="false" ht="17.25" hidden="false" customHeight="false" outlineLevel="0" collapsed="false">
      <c r="B12" s="25" t="s">
        <v>18</v>
      </c>
      <c r="C12" s="64" t="n">
        <v>0.364136545809149</v>
      </c>
      <c r="D12" s="22" t="s">
        <v>19</v>
      </c>
      <c r="G12" s="19" t="s">
        <v>20</v>
      </c>
      <c r="I12" s="9" t="s">
        <v>21</v>
      </c>
      <c r="L12" s="10"/>
      <c r="M12" s="25" t="s">
        <v>22</v>
      </c>
      <c r="N12" s="26" t="n">
        <v>0.398358279834526</v>
      </c>
      <c r="O12" s="22" t="s">
        <v>19</v>
      </c>
      <c r="X12" s="19" t="s">
        <v>20</v>
      </c>
      <c r="Z12" s="9" t="s">
        <v>21</v>
      </c>
      <c r="AB12" s="10"/>
    </row>
    <row r="13" customFormat="false" ht="17.25" hidden="false" customHeight="false" outlineLevel="0" collapsed="false">
      <c r="B13" s="29" t="s">
        <v>23</v>
      </c>
      <c r="C13" s="65" t="n">
        <v>8.06445389424692</v>
      </c>
      <c r="D13" s="31" t="e">
        <f aca="false">SQRT(D11/(COUNT(F21:F57)-G8))</f>
        <v>#REF!</v>
      </c>
      <c r="G13" s="23" t="e">
        <f aca="false">1-D11/I13</f>
        <v>#REF!</v>
      </c>
      <c r="I13" s="23" t="n">
        <f aca="false">D58</f>
        <v>14.2023980775639</v>
      </c>
      <c r="L13" s="10"/>
      <c r="M13" s="29" t="s">
        <v>23</v>
      </c>
      <c r="N13" s="30" t="n">
        <v>8.33560291182196</v>
      </c>
      <c r="O13" s="32" t="n">
        <f aca="false">SQRT(O11/(COUNT(R21:R45)-X8))</f>
        <v>0.15820428602794</v>
      </c>
      <c r="X13" s="23" t="n">
        <f aca="false">1-O11/Z13</f>
        <v>0.988496843644918</v>
      </c>
      <c r="Z13" s="23" t="n">
        <f aca="false">O58</f>
        <v>19.5822223140496</v>
      </c>
      <c r="AB13" s="10"/>
    </row>
    <row r="14" customFormat="false" ht="15.75" hidden="false" customHeight="false" outlineLevel="0" collapsed="false">
      <c r="B14" s="16" t="s">
        <v>24</v>
      </c>
      <c r="C14" s="66" t="n">
        <v>1.42200555937544</v>
      </c>
      <c r="E14" s="33"/>
      <c r="F14" s="34"/>
      <c r="G14" s="19" t="s">
        <v>25</v>
      </c>
      <c r="L14" s="10"/>
      <c r="M14" s="16" t="s">
        <v>53</v>
      </c>
      <c r="N14" s="66" t="n">
        <v>1.18660327202044</v>
      </c>
      <c r="X14" s="19" t="s">
        <v>25</v>
      </c>
      <c r="AB14" s="10"/>
    </row>
    <row r="15" customFormat="false" ht="15.75" hidden="false" customHeight="false" outlineLevel="0" collapsed="false">
      <c r="B15" s="16" t="s">
        <v>54</v>
      </c>
      <c r="C15" s="66" t="n">
        <v>17.211582999633</v>
      </c>
      <c r="E15" s="33"/>
      <c r="F15" s="34"/>
      <c r="G15" s="23" t="e">
        <f aca="false">(((G6-1)*G13)-(G8+1))/(G6-G8)</f>
        <v>#REF!</v>
      </c>
      <c r="L15" s="10"/>
      <c r="M15" s="16" t="s">
        <v>54</v>
      </c>
      <c r="N15" s="66" t="n">
        <v>15.5229617927329</v>
      </c>
      <c r="X15" s="23" t="n">
        <f aca="false">(((X6-1)*X13)-(X8+1))/(X6-X8)</f>
        <v>0.7637183644549</v>
      </c>
      <c r="AB15" s="10"/>
    </row>
    <row r="16" customFormat="false" ht="18.75" hidden="false" customHeight="false" outlineLevel="0" collapsed="false">
      <c r="B16" s="16" t="s">
        <v>55</v>
      </c>
      <c r="C16" s="66" t="n">
        <v>0</v>
      </c>
      <c r="E16" s="33"/>
      <c r="F16" s="34"/>
      <c r="H16" s="35" t="s">
        <v>26</v>
      </c>
      <c r="I16" s="36"/>
      <c r="L16" s="10"/>
      <c r="M16" s="16" t="s">
        <v>55</v>
      </c>
      <c r="N16" s="66" t="n">
        <v>0.00815701939431153</v>
      </c>
      <c r="Y16" s="35" t="s">
        <v>26</v>
      </c>
      <c r="Z16" s="36"/>
      <c r="AB16" s="10"/>
      <c r="AD16" s="28"/>
    </row>
    <row r="17" customFormat="false" ht="15.75" hidden="false" customHeight="false" outlineLevel="0" collapsed="false">
      <c r="B17" s="16"/>
      <c r="E17" s="33"/>
      <c r="F17" s="34"/>
      <c r="H17" s="23" t="e">
        <f aca="false">1-(1-G13)*((G6-1)/(G6-(G8-1)-1))</f>
        <v>#REF!</v>
      </c>
      <c r="L17" s="10"/>
      <c r="M17" s="16"/>
      <c r="Y17" s="23" t="n">
        <f aca="false">1-(1-X13)*((X6-1)/(X6-(X8-1)-1))</f>
        <v>0.985940586677122</v>
      </c>
      <c r="AB17" s="10"/>
      <c r="AD17" s="28"/>
    </row>
    <row r="18" customFormat="false" ht="15" hidden="false" customHeight="false" outlineLevel="0" collapsed="false">
      <c r="B18" s="16"/>
      <c r="E18" s="33"/>
      <c r="F18" s="34"/>
      <c r="G18" s="17"/>
      <c r="H18" s="8"/>
      <c r="L18" s="10"/>
      <c r="M18" s="16"/>
      <c r="AB18" s="10"/>
      <c r="AD18" s="28"/>
    </row>
    <row r="19" customFormat="false" ht="15" hidden="false" customHeight="false" outlineLevel="0" collapsed="false">
      <c r="B19" s="18" t="s">
        <v>27</v>
      </c>
      <c r="E19" s="37" t="s">
        <v>28</v>
      </c>
      <c r="H19" s="37" t="s">
        <v>29</v>
      </c>
      <c r="L19" s="10"/>
      <c r="M19" s="18" t="s">
        <v>27</v>
      </c>
      <c r="O19" s="37" t="s">
        <v>56</v>
      </c>
      <c r="Q19" s="37" t="s">
        <v>57</v>
      </c>
      <c r="R19" s="37" t="s">
        <v>58</v>
      </c>
      <c r="W19" s="37" t="s">
        <v>29</v>
      </c>
      <c r="AB19" s="10"/>
      <c r="AD19" s="28"/>
    </row>
    <row r="20" customFormat="false" ht="15.75" hidden="false" customHeight="false" outlineLevel="0" collapsed="false">
      <c r="A20" s="0" t="s">
        <v>30</v>
      </c>
      <c r="B20" s="38" t="s">
        <v>32</v>
      </c>
      <c r="C20" s="39" t="s">
        <v>33</v>
      </c>
      <c r="D20" s="40" t="s">
        <v>34</v>
      </c>
      <c r="E20" s="40" t="s">
        <v>33</v>
      </c>
      <c r="F20" s="40" t="s">
        <v>35</v>
      </c>
      <c r="G20" s="67" t="s">
        <v>59</v>
      </c>
      <c r="L20" s="10"/>
      <c r="M20" s="41" t="s">
        <v>36</v>
      </c>
      <c r="N20" s="39" t="s">
        <v>60</v>
      </c>
      <c r="O20" s="40" t="s">
        <v>34</v>
      </c>
      <c r="P20" s="40" t="s">
        <v>33</v>
      </c>
      <c r="Q20" s="68" t="s">
        <v>61</v>
      </c>
      <c r="R20" s="40" t="s">
        <v>59</v>
      </c>
      <c r="S20" s="40" t="s">
        <v>35</v>
      </c>
      <c r="U20" s="67"/>
      <c r="V20" s="67"/>
      <c r="AB20" s="10"/>
      <c r="AC20" s="69"/>
      <c r="AD20" s="28"/>
    </row>
    <row r="21" customFormat="false" ht="15" hidden="false" customHeight="false" outlineLevel="0" collapsed="false">
      <c r="A21" s="0" t="n">
        <f aca="false">Q21/C21</f>
        <v>0</v>
      </c>
      <c r="B21" s="70" t="n">
        <v>1</v>
      </c>
      <c r="C21" s="71" t="n">
        <v>5.12710479836481</v>
      </c>
      <c r="D21" s="45" t="n">
        <f aca="false">(C21-AVERAGE(C$21:C$57))^2</f>
        <v>4.31990658629041</v>
      </c>
      <c r="E21" s="46" t="n">
        <f aca="false">IF(B21&lt;$C$10,$C$11,LOG((10^$C$13)/(1+((10^$C$13/10^$C$11)-1)*EXP(-$C$12*(B21-$C$10)))))</f>
        <v>5.20027140890088</v>
      </c>
      <c r="F21" s="28" t="n">
        <f aca="false">(Q21-G21)^2</f>
        <v>0</v>
      </c>
      <c r="G21" s="0" t="n">
        <f aca="false">IF(B21&lt;$C$15,$C$16,$C$14*(LOG((10^$C$13)/(1+((10^$C$13/10^$C$11)-1)*EXP(-$C$12*(B21-$C$15))))-$C$11))</f>
        <v>0</v>
      </c>
      <c r="L21" s="10"/>
      <c r="M21" s="43" t="n">
        <v>1</v>
      </c>
      <c r="N21" s="44" t="s">
        <v>37</v>
      </c>
      <c r="O21" s="45" t="n">
        <f aca="false">(N21-AVERAGE(N$21:N$53))^2</f>
        <v>6.48396776859504</v>
      </c>
      <c r="P21" s="46" t="n">
        <f aca="false">IF(M21&lt;N$10,N$11,LOG((10^N$13)/(1+((10^N$13/10^N$11)-1)*EXP(-N$12*(M21-N$10)))))</f>
        <v>5.03069547581786</v>
      </c>
      <c r="Q21" s="72" t="n">
        <v>0</v>
      </c>
      <c r="R21" s="73" t="n">
        <f aca="false">IF(M21&lt;$N$15,$N$16,$N$14*(LOG((10^$N$13)/(1+((10^$N$13/10^$N$11)-1)*EXP(-$N$12*(M21-$N$15))))-$N$11))</f>
        <v>0.00815701939431153</v>
      </c>
      <c r="S21" s="28" t="n">
        <f aca="false">(Q21-R21)^2</f>
        <v>6.65369653991744E-005</v>
      </c>
      <c r="U21" s="73"/>
      <c r="V21" s="73"/>
      <c r="AB21" s="10"/>
      <c r="AC21" s="69"/>
      <c r="AD21" s="28"/>
    </row>
    <row r="22" customFormat="false" ht="15" hidden="false" customHeight="false" outlineLevel="0" collapsed="false">
      <c r="A22" s="0" t="n">
        <f aca="false">Q22/C22</f>
        <v>0</v>
      </c>
      <c r="B22" s="43" t="n">
        <v>3.25</v>
      </c>
      <c r="C22" s="48" t="n">
        <v>5.62940959910272</v>
      </c>
      <c r="D22" s="45" t="n">
        <f aca="false">(C22-AVERAGE(C$21:C$57))^2</f>
        <v>2.48419742885587</v>
      </c>
      <c r="E22" s="46" t="n">
        <f aca="false">IF(B22&lt;$C$10,$C$11,LOG((10^$C$13)/(1+((10^$C$13/10^$C$11)-1)*EXP(-$C$12*(B22-$C$10)))))</f>
        <v>5.55533924725384</v>
      </c>
      <c r="F22" s="28" t="n">
        <f aca="false">(Q22-G22)^2</f>
        <v>0</v>
      </c>
      <c r="G22" s="0" t="n">
        <f aca="false">IF(B22&lt;$C$15,$C$16,$C$14*(LOG((10^$C$13)/(1+((10^$C$13/10^$C$11)-1)*EXP(-$C$12*(B22-$C$15))))-$C$11))</f>
        <v>0</v>
      </c>
      <c r="L22" s="10"/>
      <c r="M22" s="43" t="n">
        <v>3</v>
      </c>
      <c r="N22" s="44" t="n">
        <v>5.4</v>
      </c>
      <c r="O22" s="45" t="n">
        <f aca="false">(N22-AVERAGE(N$21:N$53))^2</f>
        <v>4.56404958677686</v>
      </c>
      <c r="P22" s="46" t="n">
        <f aca="false">IF(M22&lt;N$10,N$11,LOG((10^N$13)/(1+((10^N$13/10^N$11)-1)*EXP(-N$12*(M22-N$10)))))</f>
        <v>5.37644297311353</v>
      </c>
      <c r="Q22" s="72" t="n">
        <v>0</v>
      </c>
      <c r="R22" s="74" t="n">
        <f aca="false">IF(M22&lt;$N$15,$N$16,$N$14*(LOG((10^$N$13)/(1+((10^$N$13/10^$N$11)-1)*EXP(-$N$12*(M22-$N$15))))-$N$11))</f>
        <v>0.00815701939431153</v>
      </c>
      <c r="S22" s="28" t="n">
        <f aca="false">(Q22-R22)^2</f>
        <v>6.65369653991744E-005</v>
      </c>
      <c r="AB22" s="10"/>
      <c r="AC22" s="69"/>
      <c r="AD22" s="28"/>
    </row>
    <row r="23" customFormat="false" ht="15" hidden="false" customHeight="false" outlineLevel="0" collapsed="false">
      <c r="A23" s="0" t="n">
        <f aca="false">Q23/C23</f>
        <v>0.00685022216265772</v>
      </c>
      <c r="B23" s="43" t="n">
        <v>6.00000000005821</v>
      </c>
      <c r="C23" s="48" t="n">
        <v>5.95424250943933</v>
      </c>
      <c r="D23" s="45" t="n">
        <f aca="false">(C23-AVERAGE(C$21:C$57))^2</f>
        <v>1.56575365714598</v>
      </c>
      <c r="E23" s="46" t="n">
        <f aca="false">IF(B23&lt;$C$10,$C$11,LOG((10^$C$13)/(1+((10^$C$13/10^$C$11)-1)*EXP(-$C$12*(B23-$C$10)))))</f>
        <v>5.98792141344128</v>
      </c>
      <c r="F23" s="28" t="n">
        <f aca="false">(Q23-G23)^2</f>
        <v>0.00166365148119746</v>
      </c>
      <c r="G23" s="0" t="n">
        <f aca="false">IF(B23&lt;$C$15,$C$16,$C$14*(LOG((10^$C$13)/(1+((10^$C$13/10^$C$11)-1)*EXP(-$C$12*(B23-$C$15))))-$C$11))</f>
        <v>0</v>
      </c>
      <c r="L23" s="10"/>
      <c r="M23" s="43" t="n">
        <v>6</v>
      </c>
      <c r="N23" s="44" t="n">
        <v>6</v>
      </c>
      <c r="O23" s="45" t="n">
        <f aca="false">(N23-AVERAGE(N$21:N$53))^2</f>
        <v>2.3604132231405</v>
      </c>
      <c r="P23" s="46" t="n">
        <f aca="false">IF(M23&lt;N$10,N$11,LOG((10^N$13)/(1+((10^N$13/10^N$11)-1)*EXP(-N$12*(M23-N$10)))))</f>
        <v>5.89435958679892</v>
      </c>
      <c r="Q23" s="72" t="n">
        <v>0.040787884</v>
      </c>
      <c r="R23" s="74" t="n">
        <f aca="false">IF(M23&lt;$N$15,$N$16,$N$14*(LOG((10^$N$13)/(1+((10^$N$13/10^$N$11)-1)*EXP(-$N$12*(M23-$N$15))))-$N$11))</f>
        <v>0.00815701939431153</v>
      </c>
      <c r="S23" s="28" t="n">
        <f aca="false">(Q23-R23)^2</f>
        <v>0.00106477332491477</v>
      </c>
      <c r="AB23" s="10"/>
      <c r="AC23" s="69"/>
      <c r="AD23" s="28"/>
    </row>
    <row r="24" customFormat="false" ht="15" hidden="false" customHeight="false" outlineLevel="0" collapsed="false">
      <c r="A24" s="0" t="n">
        <f aca="false">Q24/C24</f>
        <v>0</v>
      </c>
      <c r="B24" s="43" t="n">
        <v>9.00000000005821</v>
      </c>
      <c r="C24" s="48" t="n">
        <v>6.52374646681157</v>
      </c>
      <c r="D24" s="45" t="n">
        <f aca="false">(C24-AVERAGE(C$21:C$57))^2</f>
        <v>0.464846915582319</v>
      </c>
      <c r="E24" s="46" t="n">
        <f aca="false">IF(B24&lt;$C$10,$C$11,LOG((10^$C$13)/(1+((10^$C$13/10^$C$11)-1)*EXP(-$C$12*(B24-$C$10)))))</f>
        <v>6.45519319125769</v>
      </c>
      <c r="F24" s="28" t="n">
        <f aca="false">(Q24-G24)^2</f>
        <v>0</v>
      </c>
      <c r="G24" s="0" t="n">
        <f aca="false">IF(B24&lt;$C$15,$C$16,$C$14*(LOG((10^$C$13)/(1+((10^$C$13/10^$C$11)-1)*EXP(-$C$12*(B24-$C$15))))-$C$11))</f>
        <v>0</v>
      </c>
      <c r="L24" s="10"/>
      <c r="M24" s="43" t="n">
        <v>9</v>
      </c>
      <c r="N24" s="44" t="n">
        <v>6.4</v>
      </c>
      <c r="O24" s="45" t="n">
        <f aca="false">(N24-AVERAGE(N$21:N$53))^2</f>
        <v>1.29132231404959</v>
      </c>
      <c r="P24" s="46" t="n">
        <f aca="false">IF(M24&lt;N$10,N$11,LOG((10^N$13)/(1+((10^N$13/10^N$11)-1)*EXP(-N$12*(M24-N$10)))))</f>
        <v>6.40976669881511</v>
      </c>
      <c r="Q24" s="72" t="n">
        <v>0</v>
      </c>
      <c r="R24" s="74" t="n">
        <f aca="false">IF(M24&lt;$N$15,$N$16,$N$14*(LOG((10^$N$13)/(1+((10^$N$13/10^$N$11)-1)*EXP(-$N$12*(M24-$N$15))))-$N$11))</f>
        <v>0.00815701939431153</v>
      </c>
      <c r="S24" s="28" t="n">
        <f aca="false">(Q24-R24)^2</f>
        <v>6.65369653991744E-005</v>
      </c>
      <c r="AB24" s="10"/>
      <c r="AC24" s="69"/>
      <c r="AD24" s="28"/>
    </row>
    <row r="25" customFormat="false" ht="15" hidden="false" customHeight="false" outlineLevel="0" collapsed="false">
      <c r="A25" s="0" t="n">
        <f aca="false">Q25/C25</f>
        <v>0</v>
      </c>
      <c r="B25" s="43" t="n">
        <v>12.0000000000582</v>
      </c>
      <c r="C25" s="48" t="n">
        <v>6.88081359228079</v>
      </c>
      <c r="D25" s="45" t="n">
        <f aca="false">(C25-AVERAGE(C$21:C$57))^2</f>
        <v>0.105449380139838</v>
      </c>
      <c r="E25" s="46" t="n">
        <f aca="false">IF(B25&lt;$C$10,$C$11,LOG((10^$C$13)/(1+((10^$C$13/10^$C$11)-1)*EXP(-$C$12*(B25-$C$10)))))</f>
        <v>6.90896041887477</v>
      </c>
      <c r="F25" s="28" t="n">
        <f aca="false">(Q25-G25)^2</f>
        <v>0</v>
      </c>
      <c r="G25" s="0" t="n">
        <f aca="false">IF(B25&lt;$C$15,$C$16,$C$14*(LOG((10^$C$13)/(1+((10^$C$13/10^$C$11)-1)*EXP(-$C$12*(B25-$C$15))))-$C$11))</f>
        <v>0</v>
      </c>
      <c r="L25" s="10"/>
      <c r="M25" s="43" t="n">
        <v>12.17</v>
      </c>
      <c r="N25" s="44" t="n">
        <v>6.83</v>
      </c>
      <c r="O25" s="45" t="n">
        <f aca="false">(N25-AVERAGE(N$21:N$53))^2</f>
        <v>0.49894958677686</v>
      </c>
      <c r="P25" s="46" t="n">
        <f aca="false">IF(M25&lt;N$10,N$11,LOG((10^N$13)/(1+((10^N$13/10^N$11)-1)*EXP(-N$12*(M25-N$10)))))</f>
        <v>6.94532348402946</v>
      </c>
      <c r="Q25" s="72" t="n">
        <v>0</v>
      </c>
      <c r="R25" s="74" t="n">
        <f aca="false">IF(M25&lt;$N$15,$N$16,$N$14*(LOG((10^$N$13)/(1+((10^$N$13/10^$N$11)-1)*EXP(-$N$12*(M25-$N$15))))-$N$11))</f>
        <v>0.00815701939431153</v>
      </c>
      <c r="S25" s="28" t="n">
        <f aca="false">(Q25-R25)^2</f>
        <v>6.65369653991744E-005</v>
      </c>
      <c r="AB25" s="10"/>
      <c r="AC25" s="69"/>
      <c r="AD25" s="28"/>
    </row>
    <row r="26" customFormat="false" ht="15" hidden="false" customHeight="false" outlineLevel="0" collapsed="false">
      <c r="A26" s="0" t="e">
        <f aca="false">#REF!/C26</f>
        <v>#REF!</v>
      </c>
      <c r="B26" s="43" t="n">
        <v>24.4166666666861</v>
      </c>
      <c r="C26" s="48" t="n">
        <v>8.11394335230684</v>
      </c>
      <c r="D26" s="45" t="n">
        <f aca="false">(C26-AVERAGE(C$21:C$57))^2</f>
        <v>0.825190663243023</v>
      </c>
      <c r="E26" s="46" t="n">
        <f aca="false">IF(B26&lt;$C$10,$C$11,LOG((10^$C$13)/(1+((10^$C$13/10^$C$11)-1)*EXP(-$C$12*(B26-$C$10)))))</f>
        <v>8.00576856091372</v>
      </c>
      <c r="F26" s="28" t="e">
        <f aca="false">(#REF!-G26)^2</f>
        <v>#REF!</v>
      </c>
      <c r="G26" s="0" t="n">
        <f aca="false">IF(B26&lt;$C$15,$C$16,$C$14*(LOG((10^$C$13)/(1+((10^$C$13/10^$C$11)-1)*EXP(-$C$12*(B26-$C$15))))-$C$11))</f>
        <v>1.60968058417157</v>
      </c>
      <c r="L26" s="10"/>
      <c r="M26" s="43" t="n">
        <v>24.17</v>
      </c>
      <c r="N26" s="44" t="n">
        <v>8.46</v>
      </c>
      <c r="O26" s="45" t="n">
        <f aca="false">(N26-AVERAGE(N$21:N$53))^2</f>
        <v>0.853104132231405</v>
      </c>
      <c r="P26" s="46" t="n">
        <f aca="false">IF(M26&lt;N$10,N$11,LOG((10^N$13)/(1+((10^N$13/10^N$11)-1)*EXP(-N$12*(M26-N$10)))))</f>
        <v>8.25722775137797</v>
      </c>
      <c r="Q26" s="72" t="n">
        <v>1.854089683</v>
      </c>
      <c r="R26" s="0" t="n">
        <f aca="false">IF(M26&lt;$N$15,$N$16,$N$14*(LOG((10^$N$13)/(1+((10^$N$13/10^$N$11)-1)*EXP(-$N$12*(M26-$N$15))))-$N$11))</f>
        <v>1.76995818048465</v>
      </c>
      <c r="S26" s="28" t="n">
        <f aca="false">(Q26-R26)^2</f>
        <v>0.00707810971549056</v>
      </c>
      <c r="AB26" s="10"/>
      <c r="AC26" s="69"/>
      <c r="AD26" s="28"/>
    </row>
    <row r="27" customFormat="false" ht="15" hidden="false" customHeight="false" outlineLevel="0" collapsed="false">
      <c r="A27" s="0" t="e">
        <f aca="false">#REF!/C27</f>
        <v>#REF!</v>
      </c>
      <c r="B27" s="43" t="n">
        <v>27.25</v>
      </c>
      <c r="C27" s="48" t="n">
        <v>7.57978359661681</v>
      </c>
      <c r="D27" s="45" t="n">
        <f aca="false">(C27-AVERAGE(C$21:C$57))^2</f>
        <v>0.14005580299498</v>
      </c>
      <c r="E27" s="46" t="n">
        <f aca="false">IF(B27&lt;$C$10,$C$11,LOG((10^$C$13)/(1+((10^$C$13/10^$C$11)-1)*EXP(-$C$12*(B27-$C$10)))))</f>
        <v>8.04261812058601</v>
      </c>
      <c r="F27" s="28" t="e">
        <f aca="false">(#REF!-G27)^2</f>
        <v>#REF!</v>
      </c>
      <c r="G27" s="0" t="n">
        <f aca="false">IF(B27&lt;$C$15,$C$16,$C$14*(LOG((10^$C$13)/(1+((10^$C$13/10^$C$11)-1)*EXP(-$C$12*(B27-$C$15))))-$C$11))</f>
        <v>2.22671660021111</v>
      </c>
      <c r="L27" s="10"/>
      <c r="M27" s="43" t="n">
        <v>27.08</v>
      </c>
      <c r="N27" s="44" t="n">
        <v>8.3</v>
      </c>
      <c r="O27" s="45" t="n">
        <f aca="false">(N27-AVERAGE(N$21:N$53))^2</f>
        <v>0.583140495867769</v>
      </c>
      <c r="P27" s="46" t="n">
        <f aca="false">IF(M27&lt;N$10,N$11,LOG((10^N$13)/(1+((10^N$13/10^N$11)-1)*EXP(-N$12*(M27-N$10)))))</f>
        <v>8.30945881766734</v>
      </c>
      <c r="Q27" s="72" t="n">
        <v>2.473540609</v>
      </c>
      <c r="R27" s="0" t="n">
        <f aca="false">IF(M27&lt;$N$15,$N$16,$N$14*(LOG((10^$N$13)/(1+((10^$N$13/10^$N$11)-1)*EXP(-$N$12*(M27-$N$15))))-$N$11))</f>
        <v>2.35583984360055</v>
      </c>
      <c r="S27" s="28" t="n">
        <f aca="false">(Q27-R27)^2</f>
        <v>0.0138534701756156</v>
      </c>
      <c r="AB27" s="10"/>
      <c r="AC27" s="69"/>
      <c r="AD27" s="28"/>
    </row>
    <row r="28" customFormat="false" ht="15" hidden="false" customHeight="false" outlineLevel="0" collapsed="false">
      <c r="A28" s="0" t="e">
        <f aca="false">#REF!/C28</f>
        <v>#REF!</v>
      </c>
      <c r="B28" s="43" t="n">
        <v>30.0000000000582</v>
      </c>
      <c r="C28" s="48" t="n">
        <v>8.09342168516224</v>
      </c>
      <c r="D28" s="45" t="n">
        <f aca="false">(C28-AVERAGE(C$21:C$57))^2</f>
        <v>0.788328034864742</v>
      </c>
      <c r="E28" s="46" t="n">
        <f aca="false">IF(B28&lt;$C$10,$C$11,LOG((10^$C$13)/(1+((10^$C$13/10^$C$11)-1)*EXP(-$C$12*(B28-$C$10)))))</f>
        <v>8.05630386861232</v>
      </c>
      <c r="F28" s="28" t="e">
        <f aca="false">(#REF!-G28)^2</f>
        <v>#REF!</v>
      </c>
      <c r="G28" s="0" t="n">
        <f aca="false">IF(B28&lt;$C$15,$C$16,$C$14*(LOG((10^$C$13)/(1+((10^$C$13/10^$C$11)-1)*EXP(-$C$12*(B28-$C$15))))-$C$11))</f>
        <v>2.79431303244187</v>
      </c>
      <c r="L28" s="10"/>
      <c r="M28" s="43" t="n">
        <v>30.08</v>
      </c>
      <c r="N28" s="44" t="n">
        <v>8.29</v>
      </c>
      <c r="O28" s="45" t="n">
        <f aca="false">(N28-AVERAGE(N$21:N$53))^2</f>
        <v>0.567967768595039</v>
      </c>
      <c r="P28" s="46" t="n">
        <f aca="false">IF(M28&lt;N$10,N$11,LOG((10^N$13)/(1+((10^N$13/10^N$11)-1)*EXP(-N$12*(M28-N$10)))))</f>
        <v>8.32752218943537</v>
      </c>
      <c r="Q28" s="72" t="n">
        <v>2.995381085</v>
      </c>
      <c r="R28" s="0" t="n">
        <f aca="false">IF(M28&lt;$N$15,$N$16,$N$14*(LOG((10^$N$13)/(1+((10^$N$13/10^$N$11)-1)*EXP(-$N$12*(M28-$N$15))))-$N$11))</f>
        <v>2.93485396633684</v>
      </c>
      <c r="S28" s="28" t="n">
        <f aca="false">(Q28-R28)^2</f>
        <v>0.00366353209366444</v>
      </c>
      <c r="AB28" s="10"/>
      <c r="AC28" s="69"/>
    </row>
    <row r="29" customFormat="false" ht="15" hidden="false" customHeight="false" outlineLevel="0" collapsed="false">
      <c r="A29" s="0" t="n">
        <f aca="false">Q26/C29</f>
        <v>0.229086010234599</v>
      </c>
      <c r="B29" s="43" t="n">
        <v>33.0000000000582</v>
      </c>
      <c r="C29" s="48" t="n">
        <v>8.09342168516224</v>
      </c>
      <c r="D29" s="45" t="n">
        <f aca="false">(C29-AVERAGE(C$21:C$57))^2</f>
        <v>0.788328034864742</v>
      </c>
      <c r="E29" s="46" t="n">
        <f aca="false">IF(B29&lt;$C$10,$C$11,LOG((10^$C$13)/(1+((10^$C$13/10^$C$11)-1)*EXP(-$C$12*(B29-$C$10)))))</f>
        <v>8.06170323478475</v>
      </c>
      <c r="F29" s="28" t="n">
        <f aca="false">(Q26-G29)^2</f>
        <v>2.18544534577618</v>
      </c>
      <c r="G29" s="0" t="n">
        <f aca="false">IF(B29&lt;$C$15,$C$16,$C$14*(LOG((10^$C$13)/(1+((10^$C$13/10^$C$11)-1)*EXP(-$C$12*(B29-$C$15))))-$C$11))</f>
        <v>3.33241486569026</v>
      </c>
      <c r="L29" s="10"/>
      <c r="M29" s="43" t="n">
        <v>33.08</v>
      </c>
      <c r="N29" s="44" t="n">
        <v>8.33</v>
      </c>
      <c r="O29" s="45" t="n">
        <f aca="false">(N29-AVERAGE(N$21:N$53))^2</f>
        <v>0.62985867768595</v>
      </c>
      <c r="P29" s="46" t="n">
        <f aca="false">IF(M29&lt;N$10,N$11,LOG((10^N$13)/(1+((10^N$13/10^N$11)-1)*EXP(-N$12*(M29-N$10)))))</f>
        <v>8.33314112224672</v>
      </c>
      <c r="Q29" s="72" t="n">
        <v>3.089237286</v>
      </c>
      <c r="R29" s="0" t="n">
        <f aca="false">IF(M29&lt;$N$15,$N$16,$N$14*(LOG((10^$N$13)/(1+((10^$N$13/10^$N$11)-1)*EXP(-$N$12*(M29-$N$15))))-$N$11))</f>
        <v>3.44487662284484</v>
      </c>
      <c r="S29" s="28" t="n">
        <f aca="false">(Q29-R29)^2</f>
        <v>0.126479337911435</v>
      </c>
      <c r="AB29" s="10"/>
      <c r="AC29" s="69"/>
      <c r="AD29" s="69"/>
    </row>
    <row r="30" customFormat="false" ht="15" hidden="false" customHeight="false" outlineLevel="0" collapsed="false">
      <c r="A30" s="0" t="n">
        <f aca="false">Q27/C30</f>
        <v>0.305361414668976</v>
      </c>
      <c r="B30" s="43" t="n">
        <v>35.8333333333721</v>
      </c>
      <c r="C30" s="48" t="n">
        <v>8.10037054511756</v>
      </c>
      <c r="D30" s="45" t="n">
        <f aca="false">(C30-AVERAGE(C$21:C$57))^2</f>
        <v>0.800715806693948</v>
      </c>
      <c r="E30" s="46" t="n">
        <f aca="false">IF(B30&lt;$C$10,$C$11,LOG((10^$C$13)/(1+((10^$C$13/10^$C$11)-1)*EXP(-$C$12*(B30-$C$10)))))</f>
        <v>8.06347157820443</v>
      </c>
      <c r="F30" s="28" t="n">
        <f aca="false">(Q27-G30)^2</f>
        <v>1.51237232923313</v>
      </c>
      <c r="G30" s="0" t="n">
        <f aca="false">IF(B30&lt;$C$15,$C$16,$C$14*(LOG((10^$C$13)/(1+((10^$C$13/10^$C$11)-1)*EXP(-$C$12*(B30-$C$15))))-$C$11))</f>
        <v>3.70332608998159</v>
      </c>
      <c r="L30" s="10"/>
      <c r="M30" s="43" t="n">
        <v>35.83</v>
      </c>
      <c r="N30" s="44" t="n">
        <v>8.32</v>
      </c>
      <c r="O30" s="45" t="n">
        <f aca="false">(N30-AVERAGE(N$21:N$53))^2</f>
        <v>0.614085950413223</v>
      </c>
      <c r="P30" s="46" t="n">
        <f aca="false">IF(M30&lt;N$10,N$11,LOG((10^N$13)/(1+((10^N$13/10^N$11)-1)*EXP(-N$12*(M30-N$10)))))</f>
        <v>8.33477819135702</v>
      </c>
      <c r="Q30" s="72" t="n">
        <v>3.80629866</v>
      </c>
      <c r="R30" s="0" t="n">
        <f aca="false">IF(M30&lt;$N$15,$N$16,$N$14*(LOG((10^$N$13)/(1+((10^$N$13/10^$N$11)-1)*EXP(-$N$12*(M30-$N$15))))-$N$11))</f>
        <v>3.79025719896923</v>
      </c>
      <c r="S30" s="28" t="n">
        <f aca="false">(Q30-R30)^2</f>
        <v>0.000257328472001755</v>
      </c>
      <c r="AB30" s="10"/>
      <c r="AC30" s="69"/>
      <c r="AD30" s="69"/>
    </row>
    <row r="31" customFormat="false" ht="15" hidden="false" customHeight="false" outlineLevel="0" collapsed="false">
      <c r="A31" s="0" t="n">
        <f aca="false">Q28/C31</f>
        <v>0.366619967553292</v>
      </c>
      <c r="B31" s="43" t="n">
        <v>48.5000000001164</v>
      </c>
      <c r="C31" s="48" t="n">
        <v>8.17026171539496</v>
      </c>
      <c r="D31" s="45" t="n">
        <f aca="false">(C31-AVERAGE(C$21:C$57))^2</f>
        <v>0.930681629723236</v>
      </c>
      <c r="E31" s="46" t="n">
        <f aca="false">IF(B31&lt;$C$10,$C$11,LOG((10^$C$13)/(1+((10^$C$13/10^$C$11)-1)*EXP(-$C$12*(B31-$C$10)))))</f>
        <v>8.06444413088548</v>
      </c>
      <c r="F31" s="28" t="n">
        <f aca="false">(Q28-G31)^2</f>
        <v>1.16345754999667</v>
      </c>
      <c r="G31" s="0" t="n">
        <f aca="false">IF(B31&lt;$C$15,$C$16,$C$14*(LOG((10^$C$13)/(1+((10^$C$13/10^$C$11)-1)*EXP(-$C$12*(B31-$C$15))))-$C$11))</f>
        <v>4.07401797941659</v>
      </c>
      <c r="L31" s="10"/>
      <c r="M31" s="43" t="n">
        <v>48.25</v>
      </c>
      <c r="N31" s="44" t="n">
        <v>8.37</v>
      </c>
      <c r="O31" s="45" t="n">
        <f aca="false">(N31-AVERAGE(N$21:N$53))^2</f>
        <v>0.694949586776857</v>
      </c>
      <c r="P31" s="46" t="n">
        <f aca="false">IF(M31&lt;N$10,N$11,LOG((10^N$13)/(1+((10^N$13/10^N$11)-1)*EXP(-N$12*(M31-N$10)))))</f>
        <v>8.33559705048598</v>
      </c>
      <c r="Q31" s="72" t="n">
        <v>4.369435865</v>
      </c>
      <c r="R31" s="0" t="n">
        <f aca="false">IF(M31&lt;$N$15,$N$16,$N$14*(LOG((10^$N$13)/(1+((10^$N$13/10^$N$11)-1)*EXP(-$N$12*(M31-$N$15))))-$N$11))</f>
        <v>4.12345738217733</v>
      </c>
      <c r="S31" s="28" t="n">
        <f aca="false">(Q31-R31)^2</f>
        <v>0.0605054140117438</v>
      </c>
      <c r="AB31" s="10"/>
      <c r="AC31" s="69"/>
      <c r="AD31" s="69"/>
    </row>
    <row r="32" customFormat="false" ht="15" hidden="false" customHeight="false" outlineLevel="0" collapsed="false">
      <c r="A32" s="0" t="n">
        <f aca="false">Q29/C32</f>
        <v>0.376736254390244</v>
      </c>
      <c r="B32" s="43" t="n">
        <v>54.0000000000582</v>
      </c>
      <c r="C32" s="48" t="n">
        <v>8.2</v>
      </c>
      <c r="D32" s="45" t="n">
        <f aca="false">(C32-AVERAGE(C$21:C$57))^2</f>
        <v>0.988944137164802</v>
      </c>
      <c r="E32" s="46" t="n">
        <f aca="false">IF(B32&lt;$C$10,$C$11,LOG((10^$C$13)/(1+((10^$C$13/10^$C$11)-1)*EXP(-$C$12*(B32-$C$10)))))</f>
        <v>8.0644525765368</v>
      </c>
      <c r="F32" s="28" t="n">
        <f aca="false">(Q29-G32)^2</f>
        <v>0.978522355868328</v>
      </c>
      <c r="G32" s="0" t="n">
        <f aca="false">IF(B32&lt;$C$15,$C$16,$C$14*(LOG((10^$C$13)/(1+((10^$C$13/10^$C$11)-1)*EXP(-$C$12*(B32-$C$15))))-$C$11))</f>
        <v>4.07844017513262</v>
      </c>
      <c r="L32" s="10"/>
      <c r="M32" s="43" t="n">
        <v>54.08</v>
      </c>
      <c r="N32" s="44" t="n">
        <v>8.2</v>
      </c>
      <c r="O32" s="45" t="n">
        <f aca="false">(N32-AVERAGE(N$21:N$53))^2</f>
        <v>0.440413223140494</v>
      </c>
      <c r="P32" s="46" t="n">
        <f aca="false">IF(M32&lt;N$10,N$11,LOG((10^N$13)/(1+((10^N$13/10^N$11)-1)*EXP(-N$12*(M32-N$10)))))</f>
        <v>8.33560233720127</v>
      </c>
      <c r="Q32" s="72" t="n">
        <v>4.01653655</v>
      </c>
      <c r="R32" s="73" t="n">
        <f aca="false">IF(M32&lt;$N$15,$N$16,$N$14*(LOG((10^$N$13)/(1+((10^$N$13/10^$N$11)-1)*EXP(-$N$12*(M32-$N$15))))-$N$11))</f>
        <v>4.1264876822908</v>
      </c>
      <c r="S32" s="28" t="n">
        <f aca="false">(Q32-R32)^2</f>
        <v>0.0120892514920298</v>
      </c>
      <c r="AB32" s="10"/>
    </row>
    <row r="33" customFormat="false" ht="15" hidden="false" customHeight="false" outlineLevel="0" collapsed="false">
      <c r="B33" s="43"/>
      <c r="C33" s="48"/>
      <c r="D33" s="45"/>
      <c r="E33" s="46"/>
      <c r="F33" s="28"/>
      <c r="L33" s="10"/>
      <c r="M33" s="43"/>
      <c r="N33" s="48"/>
      <c r="O33" s="45"/>
      <c r="P33" s="46"/>
      <c r="Q33" s="46"/>
      <c r="R33" s="28"/>
      <c r="AB33" s="10"/>
    </row>
    <row r="34" customFormat="false" ht="15" hidden="false" customHeight="false" outlineLevel="0" collapsed="false">
      <c r="B34" s="43"/>
      <c r="C34" s="48"/>
      <c r="D34" s="45"/>
      <c r="E34" s="46"/>
      <c r="F34" s="28"/>
      <c r="L34" s="10"/>
      <c r="M34" s="43"/>
      <c r="N34" s="48"/>
      <c r="O34" s="45"/>
      <c r="P34" s="46"/>
      <c r="Q34" s="46"/>
      <c r="R34" s="28"/>
      <c r="AB34" s="10"/>
    </row>
    <row r="35" customFormat="false" ht="15" hidden="false" customHeight="false" outlineLevel="0" collapsed="false">
      <c r="B35" s="43"/>
      <c r="C35" s="48"/>
      <c r="D35" s="45"/>
      <c r="E35" s="46"/>
      <c r="F35" s="28"/>
      <c r="L35" s="10"/>
      <c r="M35" s="43"/>
      <c r="N35" s="48"/>
      <c r="O35" s="45"/>
      <c r="P35" s="46"/>
      <c r="Q35" s="46"/>
      <c r="R35" s="28"/>
      <c r="AB35" s="10"/>
    </row>
    <row r="36" customFormat="false" ht="15" hidden="false" customHeight="false" outlineLevel="0" collapsed="false">
      <c r="B36" s="43"/>
      <c r="C36" s="48"/>
      <c r="D36" s="45"/>
      <c r="E36" s="46"/>
      <c r="F36" s="28"/>
      <c r="L36" s="10"/>
      <c r="M36" s="43"/>
      <c r="N36" s="48"/>
      <c r="O36" s="45"/>
      <c r="P36" s="46"/>
      <c r="Q36" s="46"/>
      <c r="R36" s="28"/>
      <c r="AB36" s="10"/>
    </row>
    <row r="37" customFormat="false" ht="15" hidden="false" customHeight="false" outlineLevel="0" collapsed="false">
      <c r="B37" s="43"/>
      <c r="C37" s="48"/>
      <c r="D37" s="45"/>
      <c r="E37" s="46"/>
      <c r="F37" s="28"/>
      <c r="L37" s="10"/>
      <c r="M37" s="43"/>
      <c r="N37" s="48"/>
      <c r="O37" s="45"/>
      <c r="P37" s="46"/>
      <c r="Q37" s="46"/>
      <c r="R37" s="28"/>
      <c r="AB37" s="10"/>
    </row>
    <row r="38" customFormat="false" ht="15" hidden="false" customHeight="false" outlineLevel="0" collapsed="false">
      <c r="B38" s="43"/>
      <c r="C38" s="48"/>
      <c r="D38" s="45"/>
      <c r="E38" s="46"/>
      <c r="F38" s="28"/>
      <c r="L38" s="10"/>
      <c r="M38" s="43"/>
      <c r="N38" s="48"/>
      <c r="O38" s="45"/>
      <c r="P38" s="46"/>
      <c r="Q38" s="46"/>
      <c r="R38" s="28"/>
      <c r="AB38" s="10"/>
    </row>
    <row r="39" customFormat="false" ht="15" hidden="false" customHeight="false" outlineLevel="0" collapsed="false">
      <c r="B39" s="43"/>
      <c r="C39" s="48"/>
      <c r="D39" s="45"/>
      <c r="E39" s="46"/>
      <c r="F39" s="28"/>
      <c r="L39" s="10"/>
      <c r="M39" s="43"/>
      <c r="N39" s="48"/>
      <c r="O39" s="45"/>
      <c r="P39" s="46"/>
      <c r="Q39" s="46"/>
      <c r="R39" s="28"/>
      <c r="AB39" s="10"/>
    </row>
    <row r="40" customFormat="false" ht="15" hidden="false" customHeight="false" outlineLevel="0" collapsed="false">
      <c r="B40" s="43"/>
      <c r="C40" s="48"/>
      <c r="D40" s="45"/>
      <c r="E40" s="46"/>
      <c r="F40" s="28"/>
      <c r="L40" s="10"/>
      <c r="M40" s="43"/>
      <c r="N40" s="48"/>
      <c r="O40" s="45"/>
      <c r="P40" s="46"/>
      <c r="Q40" s="46"/>
      <c r="R40" s="28"/>
      <c r="AB40" s="10"/>
    </row>
    <row r="41" customFormat="false" ht="15" hidden="false" customHeight="false" outlineLevel="0" collapsed="false">
      <c r="B41" s="43"/>
      <c r="C41" s="48"/>
      <c r="D41" s="45"/>
      <c r="E41" s="46"/>
      <c r="F41" s="28"/>
      <c r="L41" s="10"/>
      <c r="M41" s="43"/>
      <c r="N41" s="48"/>
      <c r="O41" s="45"/>
      <c r="P41" s="46"/>
      <c r="Q41" s="46"/>
      <c r="R41" s="28"/>
      <c r="AB41" s="10"/>
    </row>
    <row r="42" customFormat="false" ht="15" hidden="false" customHeight="false" outlineLevel="0" collapsed="false">
      <c r="B42" s="43"/>
      <c r="C42" s="48"/>
      <c r="D42" s="45"/>
      <c r="E42" s="46"/>
      <c r="F42" s="28"/>
      <c r="L42" s="10"/>
      <c r="M42" s="43"/>
      <c r="N42" s="48"/>
      <c r="O42" s="45"/>
      <c r="P42" s="46"/>
      <c r="Q42" s="46"/>
      <c r="R42" s="28"/>
      <c r="AB42" s="10"/>
    </row>
    <row r="43" customFormat="false" ht="15" hidden="false" customHeight="false" outlineLevel="0" collapsed="false">
      <c r="B43" s="43"/>
      <c r="C43" s="48"/>
      <c r="D43" s="45"/>
      <c r="E43" s="46"/>
      <c r="F43" s="28"/>
      <c r="L43" s="10"/>
      <c r="M43" s="43"/>
      <c r="N43" s="48"/>
      <c r="O43" s="45"/>
      <c r="P43" s="46"/>
      <c r="Q43" s="46"/>
      <c r="R43" s="28"/>
      <c r="AB43" s="10"/>
    </row>
    <row r="44" customFormat="false" ht="15" hidden="false" customHeight="false" outlineLevel="0" collapsed="false">
      <c r="B44" s="43"/>
      <c r="C44" s="48"/>
      <c r="D44" s="45"/>
      <c r="E44" s="46"/>
      <c r="F44" s="28"/>
      <c r="L44" s="10"/>
      <c r="M44" s="43"/>
      <c r="N44" s="48"/>
      <c r="O44" s="45"/>
      <c r="P44" s="46"/>
      <c r="Q44" s="46"/>
      <c r="R44" s="28"/>
      <c r="AB44" s="10"/>
    </row>
    <row r="45" customFormat="false" ht="15" hidden="false" customHeight="false" outlineLevel="0" collapsed="false">
      <c r="B45" s="43"/>
      <c r="C45" s="48"/>
      <c r="D45" s="45"/>
      <c r="E45" s="46"/>
      <c r="F45" s="28"/>
      <c r="L45" s="10"/>
      <c r="M45" s="43"/>
      <c r="N45" s="48"/>
      <c r="O45" s="45"/>
      <c r="P45" s="46"/>
      <c r="Q45" s="46"/>
      <c r="R45" s="28"/>
      <c r="AB45" s="10"/>
    </row>
    <row r="46" customFormat="false" ht="15" hidden="false" customHeight="false" outlineLevel="0" collapsed="false">
      <c r="B46" s="43"/>
      <c r="C46" s="48"/>
      <c r="D46" s="45"/>
      <c r="E46" s="46"/>
      <c r="F46" s="28"/>
      <c r="H46" s="0" t="n">
        <f aca="false">LOG(2)</f>
        <v>0.301029995663981</v>
      </c>
      <c r="L46" s="10"/>
      <c r="M46" s="43"/>
      <c r="N46" s="48"/>
      <c r="O46" s="45"/>
      <c r="P46" s="46"/>
      <c r="Q46" s="46"/>
      <c r="R46" s="28"/>
      <c r="AB46" s="10"/>
    </row>
    <row r="47" customFormat="false" ht="15" hidden="false" customHeight="false" outlineLevel="0" collapsed="false">
      <c r="B47" s="43"/>
      <c r="C47" s="48"/>
      <c r="D47" s="45"/>
      <c r="E47" s="46"/>
      <c r="F47" s="28"/>
      <c r="H47" s="0" t="n">
        <f aca="false">LN(2)</f>
        <v>0.693147180559945</v>
      </c>
      <c r="L47" s="10"/>
      <c r="M47" s="43"/>
      <c r="N47" s="48"/>
      <c r="O47" s="45"/>
      <c r="P47" s="46"/>
      <c r="Q47" s="46"/>
      <c r="R47" s="28"/>
      <c r="AB47" s="10"/>
    </row>
    <row r="48" customFormat="false" ht="15" hidden="false" customHeight="false" outlineLevel="0" collapsed="false">
      <c r="B48" s="43"/>
      <c r="C48" s="48"/>
      <c r="D48" s="45"/>
      <c r="E48" s="46"/>
      <c r="F48" s="28"/>
      <c r="L48" s="10"/>
      <c r="M48" s="43"/>
      <c r="N48" s="48"/>
      <c r="O48" s="45"/>
      <c r="P48" s="46"/>
      <c r="Q48" s="46"/>
      <c r="R48" s="28"/>
      <c r="AB48" s="10"/>
    </row>
    <row r="49" customFormat="false" ht="15" hidden="false" customHeight="false" outlineLevel="0" collapsed="false">
      <c r="B49" s="43"/>
      <c r="C49" s="48"/>
      <c r="D49" s="45"/>
      <c r="E49" s="46"/>
      <c r="F49" s="28"/>
      <c r="L49" s="10"/>
      <c r="M49" s="43"/>
      <c r="N49" s="48"/>
      <c r="O49" s="45"/>
      <c r="P49" s="46"/>
      <c r="Q49" s="46"/>
      <c r="R49" s="28"/>
      <c r="AB49" s="10"/>
    </row>
    <row r="50" customFormat="false" ht="15" hidden="false" customHeight="false" outlineLevel="0" collapsed="false">
      <c r="B50" s="43"/>
      <c r="C50" s="48"/>
      <c r="D50" s="45"/>
      <c r="E50" s="46"/>
      <c r="F50" s="28"/>
      <c r="L50" s="10"/>
      <c r="M50" s="43"/>
      <c r="N50" s="48"/>
      <c r="O50" s="45"/>
      <c r="P50" s="46"/>
      <c r="Q50" s="46"/>
      <c r="R50" s="28"/>
      <c r="AB50" s="10"/>
    </row>
    <row r="51" customFormat="false" ht="15" hidden="false" customHeight="false" outlineLevel="0" collapsed="false">
      <c r="B51" s="43"/>
      <c r="C51" s="48"/>
      <c r="D51" s="45"/>
      <c r="E51" s="46"/>
      <c r="F51" s="28"/>
      <c r="L51" s="10"/>
      <c r="M51" s="43"/>
      <c r="N51" s="48"/>
      <c r="O51" s="45"/>
      <c r="P51" s="46"/>
      <c r="Q51" s="46"/>
      <c r="R51" s="28"/>
      <c r="AB51" s="10"/>
    </row>
    <row r="52" customFormat="false" ht="15" hidden="false" customHeight="false" outlineLevel="0" collapsed="false">
      <c r="B52" s="43"/>
      <c r="C52" s="48"/>
      <c r="D52" s="45"/>
      <c r="E52" s="46"/>
      <c r="F52" s="28"/>
      <c r="L52" s="10"/>
      <c r="M52" s="43"/>
      <c r="N52" s="48"/>
      <c r="O52" s="45"/>
      <c r="P52" s="46"/>
      <c r="Q52" s="46"/>
      <c r="R52" s="28"/>
      <c r="AB52" s="10"/>
    </row>
    <row r="53" customFormat="false" ht="15" hidden="false" customHeight="false" outlineLevel="0" collapsed="false">
      <c r="B53" s="43"/>
      <c r="C53" s="48"/>
      <c r="D53" s="45"/>
      <c r="E53" s="46"/>
      <c r="F53" s="28"/>
      <c r="L53" s="10"/>
      <c r="M53" s="43"/>
      <c r="N53" s="48"/>
      <c r="O53" s="45"/>
      <c r="P53" s="46"/>
      <c r="Q53" s="46"/>
      <c r="R53" s="28"/>
      <c r="AB53" s="10"/>
    </row>
    <row r="54" customFormat="false" ht="15.75" hidden="false" customHeight="false" outlineLevel="0" collapsed="false">
      <c r="B54" s="43"/>
      <c r="C54" s="48"/>
      <c r="D54" s="45"/>
      <c r="E54" s="46"/>
      <c r="F54" s="28"/>
      <c r="L54" s="10"/>
      <c r="M54" s="43"/>
      <c r="N54" s="53" t="s">
        <v>21</v>
      </c>
      <c r="O54" s="45"/>
      <c r="P54" s="46"/>
      <c r="Q54" s="51"/>
      <c r="R54" s="28"/>
      <c r="AB54" s="10"/>
    </row>
    <row r="55" customFormat="false" ht="15" hidden="false" customHeight="false" outlineLevel="0" collapsed="false">
      <c r="B55" s="43"/>
      <c r="C55" s="48"/>
      <c r="D55" s="45"/>
      <c r="E55" s="46"/>
      <c r="F55" s="28"/>
      <c r="L55" s="10"/>
      <c r="M55" s="43"/>
      <c r="O55" s="45"/>
      <c r="P55" s="46"/>
      <c r="R55" s="28"/>
      <c r="AB55" s="10"/>
    </row>
    <row r="56" customFormat="false" ht="15" hidden="false" customHeight="false" outlineLevel="0" collapsed="false">
      <c r="B56" s="43"/>
      <c r="C56" s="48"/>
      <c r="D56" s="45"/>
      <c r="E56" s="46"/>
      <c r="F56" s="28"/>
      <c r="L56" s="10"/>
      <c r="M56" s="43"/>
      <c r="O56" s="45"/>
      <c r="P56" s="46"/>
      <c r="R56" s="28"/>
      <c r="AB56" s="10"/>
    </row>
    <row r="57" customFormat="false" ht="15" hidden="false" customHeight="false" outlineLevel="0" collapsed="false">
      <c r="B57" s="43"/>
      <c r="C57" s="48"/>
      <c r="D57" s="45"/>
      <c r="E57" s="46"/>
      <c r="F57" s="28"/>
      <c r="L57" s="10"/>
      <c r="M57" s="43"/>
      <c r="O57" s="45"/>
      <c r="P57" s="46"/>
      <c r="R57" s="28"/>
      <c r="AB57" s="10"/>
    </row>
    <row r="58" customFormat="false" ht="15.75" hidden="false" customHeight="false" outlineLevel="0" collapsed="false">
      <c r="B58" s="49"/>
      <c r="C58" s="50" t="s">
        <v>21</v>
      </c>
      <c r="D58" s="50" t="n">
        <f aca="false">SUM(D21:D57)</f>
        <v>14.2023980775639</v>
      </c>
      <c r="E58" s="51"/>
      <c r="F58" s="51"/>
      <c r="G58" s="51"/>
      <c r="H58" s="51"/>
      <c r="I58" s="51"/>
      <c r="J58" s="51"/>
      <c r="K58" s="51"/>
      <c r="L58" s="52"/>
      <c r="M58" s="49"/>
      <c r="O58" s="54" t="n">
        <f aca="false">SUM(O21:O57)</f>
        <v>19.5822223140496</v>
      </c>
      <c r="P58" s="51"/>
      <c r="R58" s="51"/>
      <c r="S58" s="51"/>
      <c r="T58" s="51"/>
      <c r="U58" s="51"/>
      <c r="V58" s="51"/>
      <c r="W58" s="51"/>
      <c r="X58" s="51"/>
      <c r="Y58" s="51"/>
      <c r="Z58" s="51"/>
      <c r="AA58" s="51"/>
      <c r="AB58" s="52"/>
    </row>
    <row r="59" customFormat="false" ht="20.25" hidden="false" customHeight="false" outlineLevel="0" collapsed="false">
      <c r="E59" s="55" t="s">
        <v>38</v>
      </c>
    </row>
    <row r="60" customFormat="false" ht="15.75" hidden="false" customHeight="false" outlineLevel="0" collapsed="false">
      <c r="J60" s="56" t="s">
        <v>39</v>
      </c>
      <c r="K60" s="57" t="e">
        <f aca="false">($H$62-$H$65)/($H$63-$H$66)/($H$65/$H$66)</f>
        <v>#REF!</v>
      </c>
    </row>
    <row r="61" customFormat="false" ht="15.75" hidden="false" customHeight="false" outlineLevel="0" collapsed="false">
      <c r="G61" s="58"/>
      <c r="H61" s="58" t="s">
        <v>40</v>
      </c>
      <c r="J61" s="58"/>
      <c r="K61" s="59"/>
    </row>
    <row r="62" customFormat="false" ht="15.75" hidden="false" customHeight="false" outlineLevel="0" collapsed="false">
      <c r="F62" s="58"/>
      <c r="G62" s="58" t="s">
        <v>41</v>
      </c>
      <c r="H62" s="60" t="n">
        <f aca="false">O11</f>
        <v>0.225257365058492</v>
      </c>
      <c r="J62" s="61" t="s">
        <v>42</v>
      </c>
      <c r="K62" s="61" t="n">
        <f aca="false">_xlfn.F.INV.RT(0.05,1,H66)</f>
        <v>6.60789097370337</v>
      </c>
    </row>
    <row r="63" customFormat="false" ht="15.75" hidden="false" customHeight="false" outlineLevel="0" collapsed="false">
      <c r="F63" s="58"/>
      <c r="G63" s="58" t="s">
        <v>43</v>
      </c>
      <c r="H63" s="62" t="n">
        <f aca="false">$X$6-$X$8</f>
        <v>9</v>
      </c>
      <c r="J63" s="61" t="s">
        <v>44</v>
      </c>
      <c r="K63" s="61" t="n">
        <f aca="false">_xlfn.F.INV.RT(0.01,1,H66)</f>
        <v>16.2581770398337</v>
      </c>
    </row>
    <row r="64" customFormat="false" ht="15.75" hidden="false" customHeight="false" outlineLevel="0" collapsed="false">
      <c r="F64" s="58"/>
      <c r="G64" s="58"/>
      <c r="H64" s="58" t="s">
        <v>45</v>
      </c>
    </row>
    <row r="65" customFormat="false" ht="26.25" hidden="false" customHeight="false" outlineLevel="0" collapsed="false">
      <c r="F65" s="58"/>
      <c r="G65" s="58" t="s">
        <v>46</v>
      </c>
      <c r="H65" s="60" t="e">
        <f aca="false">D11</f>
        <v>#REF!</v>
      </c>
      <c r="J65" s="63" t="s">
        <v>47</v>
      </c>
    </row>
    <row r="66" customFormat="false" ht="15.75" hidden="false" customHeight="false" outlineLevel="0" collapsed="false">
      <c r="G66" s="58" t="s">
        <v>48</v>
      </c>
      <c r="H66" s="62" t="n">
        <f aca="false">$G$6-$G$8</f>
        <v>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3:AA66"/>
  <sheetViews>
    <sheetView showFormulas="false" showGridLines="true" showRowColHeaders="true" showZeros="true" rightToLeft="false" tabSelected="false" showOutlineSymbols="true" defaultGridColor="true" view="normal" topLeftCell="I7" colorId="64" zoomScale="85" zoomScaleNormal="85" zoomScalePageLayoutView="100" workbookViewId="0">
      <selection pane="topLeft" activeCell="S32" activeCellId="0" sqref="S32"/>
    </sheetView>
  </sheetViews>
  <sheetFormatPr defaultColWidth="11.42578125" defaultRowHeight="15" zeroHeight="false" outlineLevelRow="0" outlineLevelCol="0"/>
  <sheetData>
    <row r="3" customFormat="false" ht="45.75" hidden="false" customHeight="false" outlineLevel="0" collapsed="false">
      <c r="C3" s="1"/>
    </row>
    <row r="4" customFormat="false" ht="15.75" hidden="false" customHeight="false" outlineLevel="0" collapsed="false">
      <c r="C4" s="2" t="s">
        <v>0</v>
      </c>
      <c r="D4" s="3"/>
      <c r="E4" s="3"/>
      <c r="F4" s="4"/>
      <c r="G4" s="4"/>
      <c r="H4" s="4"/>
      <c r="I4" s="4"/>
      <c r="J4" s="4"/>
      <c r="K4" s="4"/>
      <c r="L4" s="4"/>
      <c r="M4" s="5"/>
      <c r="N4" s="6"/>
      <c r="O4" s="4"/>
      <c r="P4" s="4"/>
      <c r="Q4" s="4"/>
      <c r="R4" s="4"/>
      <c r="S4" s="4"/>
      <c r="T4" s="4"/>
      <c r="U4" s="4"/>
      <c r="V4" s="4"/>
      <c r="W4" s="4"/>
      <c r="X4" s="4"/>
      <c r="Y4" s="5"/>
    </row>
    <row r="5" customFormat="false" ht="16.5" hidden="false" customHeight="false" outlineLevel="0" collapsed="false">
      <c r="C5" s="7" t="s">
        <v>1</v>
      </c>
      <c r="D5" s="8"/>
      <c r="E5" s="8"/>
      <c r="H5" s="9" t="s">
        <v>2</v>
      </c>
      <c r="L5" s="9" t="s">
        <v>3</v>
      </c>
      <c r="M5" s="10"/>
      <c r="N5" s="7" t="s">
        <v>4</v>
      </c>
      <c r="T5" s="8"/>
      <c r="U5" s="9" t="s">
        <v>2</v>
      </c>
      <c r="W5" s="9" t="s">
        <v>5</v>
      </c>
      <c r="Y5" s="10"/>
    </row>
    <row r="6" customFormat="false" ht="17.25" hidden="false" customHeight="false" outlineLevel="0" collapsed="false">
      <c r="C6" s="11" t="s">
        <v>6</v>
      </c>
      <c r="D6" s="12" t="s">
        <v>7</v>
      </c>
      <c r="E6" s="13"/>
      <c r="F6" s="14"/>
      <c r="G6" s="14"/>
      <c r="H6" s="15" t="n">
        <f aca="false">COUNT(G21:G36)</f>
        <v>12</v>
      </c>
      <c r="M6" s="10"/>
      <c r="N6" s="16"/>
      <c r="O6" s="12" t="s">
        <v>8</v>
      </c>
      <c r="P6" s="14"/>
      <c r="Q6" s="12"/>
      <c r="R6" s="12"/>
      <c r="S6" s="14"/>
      <c r="T6" s="8"/>
      <c r="U6" s="15" t="n">
        <f aca="false">COUNT(R21:R57)</f>
        <v>12</v>
      </c>
      <c r="Y6" s="10"/>
    </row>
    <row r="7" customFormat="false" ht="17.25" hidden="false" customHeight="false" outlineLevel="0" collapsed="false">
      <c r="C7" s="11" t="s">
        <v>9</v>
      </c>
      <c r="D7" s="12" t="s">
        <v>10</v>
      </c>
      <c r="E7" s="13"/>
      <c r="F7" s="14"/>
      <c r="G7" s="14"/>
      <c r="H7" s="9" t="s">
        <v>11</v>
      </c>
      <c r="M7" s="10"/>
      <c r="N7" s="16"/>
      <c r="U7" s="9" t="s">
        <v>11</v>
      </c>
      <c r="Y7" s="10"/>
    </row>
    <row r="8" customFormat="false" ht="15.75" hidden="false" customHeight="false" outlineLevel="0" collapsed="false">
      <c r="C8" s="16"/>
      <c r="F8" s="17"/>
      <c r="G8" s="17"/>
      <c r="H8" s="15" t="n">
        <f aca="false">COUNT(D10:D13)</f>
        <v>4</v>
      </c>
      <c r="M8" s="10"/>
      <c r="N8" s="16"/>
      <c r="U8" s="15" t="n">
        <f aca="false">COUNT(O11:O13)</f>
        <v>3</v>
      </c>
      <c r="Y8" s="10"/>
    </row>
    <row r="9" customFormat="false" ht="15.75" hidden="false" customHeight="false" outlineLevel="0" collapsed="false">
      <c r="C9" s="18" t="s">
        <v>12</v>
      </c>
      <c r="H9" s="19" t="s">
        <v>13</v>
      </c>
      <c r="M9" s="10"/>
      <c r="N9" s="18" t="s">
        <v>12</v>
      </c>
      <c r="Q9" s="8"/>
      <c r="U9" s="19" t="s">
        <v>13</v>
      </c>
      <c r="Y9" s="10"/>
    </row>
    <row r="10" customFormat="false" ht="15.75" hidden="false" customHeight="false" outlineLevel="0" collapsed="false">
      <c r="C10" s="20" t="s">
        <v>14</v>
      </c>
      <c r="D10" s="21" t="n">
        <v>0</v>
      </c>
      <c r="E10" s="22" t="s">
        <v>15</v>
      </c>
      <c r="H10" s="23" t="n">
        <f aca="false">E11/(H6-H8)</f>
        <v>0.000929801639381695</v>
      </c>
      <c r="M10" s="10"/>
      <c r="N10" s="20" t="s">
        <v>16</v>
      </c>
      <c r="O10" s="24" t="n">
        <v>0</v>
      </c>
      <c r="P10" s="22" t="s">
        <v>15</v>
      </c>
      <c r="U10" s="23" t="n">
        <f aca="false">P11/(U6-U8)</f>
        <v>0.000826490346075871</v>
      </c>
      <c r="Y10" s="10"/>
    </row>
    <row r="11" customFormat="false" ht="17.25" hidden="false" customHeight="false" outlineLevel="0" collapsed="false">
      <c r="C11" s="25" t="s">
        <v>17</v>
      </c>
      <c r="D11" s="26" t="n">
        <v>5.2100446909738</v>
      </c>
      <c r="E11" s="27" t="n">
        <f aca="false">SUM(G21:G57)</f>
        <v>0.00743841311505356</v>
      </c>
      <c r="H11" s="28"/>
      <c r="M11" s="10"/>
      <c r="N11" s="25" t="s">
        <v>17</v>
      </c>
      <c r="O11" s="26" t="n">
        <v>5.21004470044122</v>
      </c>
      <c r="P11" s="27" t="n">
        <f aca="false">SUM(R21:R57)</f>
        <v>0.00743841311468283</v>
      </c>
      <c r="U11" s="28"/>
      <c r="Y11" s="10"/>
    </row>
    <row r="12" customFormat="false" ht="17.25" hidden="false" customHeight="false" outlineLevel="0" collapsed="false">
      <c r="C12" s="25" t="s">
        <v>18</v>
      </c>
      <c r="D12" s="26" t="n">
        <v>0.3571806857307</v>
      </c>
      <c r="E12" s="22" t="s">
        <v>19</v>
      </c>
      <c r="H12" s="19" t="s">
        <v>20</v>
      </c>
      <c r="J12" s="9" t="s">
        <v>21</v>
      </c>
      <c r="M12" s="10"/>
      <c r="N12" s="25" t="s">
        <v>22</v>
      </c>
      <c r="O12" s="26" t="n">
        <v>0.357180684945069</v>
      </c>
      <c r="P12" s="22" t="s">
        <v>19</v>
      </c>
      <c r="U12" s="19" t="s">
        <v>20</v>
      </c>
      <c r="W12" s="9" t="s">
        <v>21</v>
      </c>
      <c r="Y12" s="10"/>
    </row>
    <row r="13" customFormat="false" ht="17.25" hidden="false" customHeight="false" outlineLevel="0" collapsed="false">
      <c r="C13" s="29" t="s">
        <v>23</v>
      </c>
      <c r="D13" s="30" t="n">
        <v>8.30260663519566</v>
      </c>
      <c r="E13" s="31" t="n">
        <f aca="false">SQRT(E11/(COUNT(G21:G57)-H8))</f>
        <v>0.0304926489400592</v>
      </c>
      <c r="H13" s="23" t="n">
        <f aca="false">1-E11/J13</f>
        <v>0.99950213507701</v>
      </c>
      <c r="J13" s="23" t="n">
        <f aca="false">E58</f>
        <v>14.940625</v>
      </c>
      <c r="M13" s="10"/>
      <c r="N13" s="29" t="s">
        <v>23</v>
      </c>
      <c r="O13" s="30" t="n">
        <v>8.30260663828688</v>
      </c>
      <c r="P13" s="32" t="n">
        <f aca="false">SQRT(P11/(COUNT(R21:R57)-U8))</f>
        <v>0.0287487451217592</v>
      </c>
      <c r="U13" s="23" t="n">
        <f aca="false">1-P11/W13</f>
        <v>0.999502135077034</v>
      </c>
      <c r="W13" s="23" t="n">
        <f aca="false">P58</f>
        <v>14.940625</v>
      </c>
      <c r="Y13" s="10"/>
    </row>
    <row r="14" customFormat="false" ht="15.75" hidden="false" customHeight="false" outlineLevel="0" collapsed="false">
      <c r="C14" s="16" t="s">
        <v>24</v>
      </c>
      <c r="F14" s="33"/>
      <c r="G14" s="34"/>
      <c r="H14" s="19" t="s">
        <v>25</v>
      </c>
      <c r="M14" s="10"/>
      <c r="N14" s="16"/>
      <c r="U14" s="19" t="s">
        <v>25</v>
      </c>
      <c r="Y14" s="10"/>
    </row>
    <row r="15" customFormat="false" ht="15.75" hidden="false" customHeight="false" outlineLevel="0" collapsed="false">
      <c r="C15" s="16"/>
      <c r="F15" s="33"/>
      <c r="G15" s="34"/>
      <c r="H15" s="23" t="n">
        <f aca="false">(((H6-1)*H13)-(H8+1))/(H6-H8)</f>
        <v>0.749315435730888</v>
      </c>
      <c r="M15" s="10"/>
      <c r="N15" s="16"/>
      <c r="U15" s="23" t="n">
        <f aca="false">(((U6-1)*U13)-(U8+1))/(U6-U8)</f>
        <v>0.777169276205264</v>
      </c>
      <c r="Y15" s="10"/>
    </row>
    <row r="16" customFormat="false" ht="15.75" hidden="false" customHeight="false" outlineLevel="0" collapsed="false">
      <c r="C16" s="16"/>
      <c r="F16" s="33"/>
      <c r="G16" s="34"/>
      <c r="I16" s="35" t="s">
        <v>26</v>
      </c>
      <c r="J16" s="36"/>
      <c r="M16" s="10"/>
      <c r="N16" s="16"/>
      <c r="V16" s="35" t="s">
        <v>26</v>
      </c>
      <c r="W16" s="36"/>
      <c r="Y16" s="10"/>
    </row>
    <row r="17" customFormat="false" ht="15.75" hidden="false" customHeight="false" outlineLevel="0" collapsed="false">
      <c r="C17" s="16"/>
      <c r="F17" s="33"/>
      <c r="G17" s="34"/>
      <c r="I17" s="23" t="n">
        <f aca="false">1-(1-H13)*((H6-1)/(H6-(H8-1)-1))</f>
        <v>0.999315435730888</v>
      </c>
      <c r="M17" s="10"/>
      <c r="N17" s="16"/>
      <c r="V17" s="23" t="n">
        <f aca="false">1-(1-U13)*((U6-1)/(U6-(U8-1)-1))</f>
        <v>0.999391498427487</v>
      </c>
      <c r="Y17" s="10"/>
    </row>
    <row r="18" customFormat="false" ht="15" hidden="false" customHeight="false" outlineLevel="0" collapsed="false">
      <c r="C18" s="16"/>
      <c r="F18" s="33"/>
      <c r="G18" s="34"/>
      <c r="H18" s="17"/>
      <c r="I18" s="8"/>
      <c r="M18" s="10"/>
      <c r="N18" s="16"/>
      <c r="Y18" s="10"/>
    </row>
    <row r="19" customFormat="false" ht="15" hidden="false" customHeight="false" outlineLevel="0" collapsed="false">
      <c r="C19" s="18" t="s">
        <v>27</v>
      </c>
      <c r="F19" s="37" t="s">
        <v>28</v>
      </c>
      <c r="I19" s="37" t="s">
        <v>29</v>
      </c>
      <c r="M19" s="10"/>
      <c r="N19" s="18" t="s">
        <v>27</v>
      </c>
      <c r="Q19" s="37" t="s">
        <v>28</v>
      </c>
      <c r="T19" s="37" t="s">
        <v>29</v>
      </c>
      <c r="Y19" s="10"/>
    </row>
    <row r="20" customFormat="false" ht="15" hidden="false" customHeight="false" outlineLevel="0" collapsed="false">
      <c r="A20" s="0" t="s">
        <v>30</v>
      </c>
      <c r="B20" s="0" t="s">
        <v>31</v>
      </c>
      <c r="C20" s="38" t="s">
        <v>32</v>
      </c>
      <c r="D20" s="39" t="s">
        <v>33</v>
      </c>
      <c r="E20" s="40" t="s">
        <v>34</v>
      </c>
      <c r="F20" s="40" t="s">
        <v>33</v>
      </c>
      <c r="G20" s="40" t="s">
        <v>35</v>
      </c>
      <c r="M20" s="10"/>
      <c r="N20" s="41" t="s">
        <v>36</v>
      </c>
      <c r="O20" s="39" t="s">
        <v>33</v>
      </c>
      <c r="P20" s="40" t="s">
        <v>34</v>
      </c>
      <c r="Q20" s="40" t="s">
        <v>33</v>
      </c>
      <c r="R20" s="40" t="s">
        <v>35</v>
      </c>
      <c r="Y20" s="10"/>
      <c r="Z20" s="42" t="n">
        <v>1</v>
      </c>
      <c r="AA20" s="42" t="n">
        <v>5.27875360095283</v>
      </c>
    </row>
    <row r="21" customFormat="false" ht="15" hidden="false" customHeight="false" outlineLevel="0" collapsed="false">
      <c r="A21" s="0" t="n">
        <f aca="false">B21/D21</f>
        <v>0</v>
      </c>
      <c r="B21" s="0" t="n">
        <v>0</v>
      </c>
      <c r="C21" s="43" t="n">
        <v>1</v>
      </c>
      <c r="D21" s="44" t="n">
        <v>5.34</v>
      </c>
      <c r="E21" s="45" t="n">
        <f aca="false">(D21-AVERAGE(D$21:D$53))^2</f>
        <v>4.25390625</v>
      </c>
      <c r="F21" s="46" t="n">
        <f aca="false">IF(C21&lt;$D$10,$D$11,LOG((10^$D$13)/(1+((10^$D$13/10^$D$11)-1)*EXP(-$D$12*(C21-$D$10)))))</f>
        <v>5.36501566512579</v>
      </c>
      <c r="G21" s="28" t="n">
        <f aca="false">(D21-F21)^2</f>
        <v>0.000625783501685655</v>
      </c>
      <c r="M21" s="10"/>
      <c r="N21" s="43" t="n">
        <v>1</v>
      </c>
      <c r="O21" s="44" t="n">
        <v>5.34</v>
      </c>
      <c r="P21" s="45" t="n">
        <f aca="false">(O21-AVERAGE(O$21:O$57))^2</f>
        <v>4.25390625</v>
      </c>
      <c r="Q21" s="46" t="n">
        <f aca="false">IF(N21&lt;O$10,O$11,LOG((10^O$13)/(1+((10^O$13/10^O$11)-1)*EXP(-O$12*(N21-O$10)))))</f>
        <v>5.36501567425019</v>
      </c>
      <c r="R21" s="28" t="n">
        <f aca="false">(O21-Q21)^2</f>
        <v>0.000625783958191648</v>
      </c>
      <c r="Y21" s="10"/>
      <c r="Z21" s="42" t="n">
        <v>3.00000000005821</v>
      </c>
      <c r="AA21" s="47"/>
    </row>
    <row r="22" customFormat="false" ht="15" hidden="false" customHeight="false" outlineLevel="0" collapsed="false">
      <c r="A22" s="0" t="n">
        <f aca="false">B22/D22</f>
        <v>0</v>
      </c>
      <c r="B22" s="0" t="n">
        <v>0</v>
      </c>
      <c r="C22" s="43" t="n">
        <v>3</v>
      </c>
      <c r="D22" s="44" t="n">
        <v>5.69</v>
      </c>
      <c r="E22" s="45" t="n">
        <f aca="false">(D22-AVERAGE(D$21:D$53))^2</f>
        <v>2.93265625</v>
      </c>
      <c r="F22" s="46" t="n">
        <f aca="false">IF(C22&lt;$D$10,$D$11,LOG((10^$D$13)/(1+((10^$D$13/10^$D$11)-1)*EXP(-$D$12*(C22-$D$10)))))</f>
        <v>5.6747362696933</v>
      </c>
      <c r="G22" s="28" t="n">
        <f aca="false">(D22-F22)^2</f>
        <v>0.000232981462875551</v>
      </c>
      <c r="M22" s="10"/>
      <c r="N22" s="43" t="n">
        <v>3</v>
      </c>
      <c r="O22" s="44" t="n">
        <v>5.69</v>
      </c>
      <c r="P22" s="45" t="n">
        <f aca="false">(O22-AVERAGE(O$21:O$57))^2</f>
        <v>2.93265625</v>
      </c>
      <c r="Q22" s="46" t="n">
        <f aca="false">IF(N22&lt;O$10,O$11,LOG((10^O$13)/(1+((10^O$13/10^O$11)-1)*EXP(-O$12*(N22-O$10)))))</f>
        <v>5.67473627812967</v>
      </c>
      <c r="R22" s="28" t="n">
        <f aca="false">(O22-Q22)^2</f>
        <v>0.000232981205334892</v>
      </c>
      <c r="Y22" s="10"/>
      <c r="Z22" s="42" t="n">
        <v>6.00000000005821</v>
      </c>
      <c r="AA22" s="47"/>
    </row>
    <row r="23" customFormat="false" ht="15" hidden="false" customHeight="false" outlineLevel="0" collapsed="false">
      <c r="A23" s="0" t="n">
        <f aca="false">B23/D23</f>
        <v>0</v>
      </c>
      <c r="B23" s="0" t="n">
        <v>0</v>
      </c>
      <c r="C23" s="43" t="n">
        <v>6</v>
      </c>
      <c r="D23" s="44" t="n">
        <v>6.15</v>
      </c>
      <c r="E23" s="45" t="n">
        <f aca="false">(D23-AVERAGE(D$21:D$53))^2</f>
        <v>1.56875625</v>
      </c>
      <c r="F23" s="46" t="n">
        <f aca="false">IF(C23&lt;$D$10,$D$11,LOG((10^$D$13)/(1+((10^$D$13/10^$D$11)-1)*EXP(-$D$12*(C23-$D$10)))))</f>
        <v>6.13814129160581</v>
      </c>
      <c r="G23" s="28" t="n">
        <f aca="false">(D23-F23)^2</f>
        <v>0.00014062896477853</v>
      </c>
      <c r="M23" s="10"/>
      <c r="N23" s="43" t="n">
        <v>6</v>
      </c>
      <c r="O23" s="44" t="n">
        <v>6.15</v>
      </c>
      <c r="P23" s="45" t="n">
        <f aca="false">(O23-AVERAGE(O$21:O$57))^2</f>
        <v>1.56875625</v>
      </c>
      <c r="Q23" s="46" t="n">
        <f aca="false">IF(N23&lt;O$10,O$11,LOG((10^O$13)/(1+((10^O$13/10^O$11)-1)*EXP(-O$12*(N23-O$10)))))</f>
        <v>6.13814129900153</v>
      </c>
      <c r="R23" s="28" t="n">
        <f aca="false">(O23-Q23)^2</f>
        <v>0.0001406287893712</v>
      </c>
      <c r="Y23" s="10"/>
      <c r="Z23" s="42" t="n">
        <v>9.00000000005821</v>
      </c>
      <c r="AA23" s="47"/>
    </row>
    <row r="24" customFormat="false" ht="15" hidden="false" customHeight="false" outlineLevel="0" collapsed="false">
      <c r="A24" s="0" t="n">
        <f aca="false">B24/D24</f>
        <v>0</v>
      </c>
      <c r="B24" s="0" t="n">
        <v>0</v>
      </c>
      <c r="C24" s="43" t="n">
        <v>9</v>
      </c>
      <c r="D24" s="44" t="n">
        <v>6.61</v>
      </c>
      <c r="E24" s="45" t="n">
        <f aca="false">(D24-AVERAGE(D$21:D$53))^2</f>
        <v>0.628056249999999</v>
      </c>
      <c r="F24" s="46" t="n">
        <f aca="false">IF(C24&lt;$D$10,$D$11,LOG((10^$D$13)/(1+((10^$D$13/10^$D$11)-1)*EXP(-$D$12*(C24-$D$10)))))</f>
        <v>6.59783386790263</v>
      </c>
      <c r="G24" s="28" t="n">
        <f aca="false">(D24-F24)^2</f>
        <v>0.000148014770210723</v>
      </c>
      <c r="M24" s="10"/>
      <c r="N24" s="43" t="n">
        <v>9</v>
      </c>
      <c r="O24" s="44" t="n">
        <v>6.61</v>
      </c>
      <c r="P24" s="45" t="n">
        <f aca="false">(O24-AVERAGE(O$21:O$57))^2</f>
        <v>0.628056249999999</v>
      </c>
      <c r="Q24" s="46" t="n">
        <f aca="false">IF(N24&lt;O$10,O$11,LOG((10^O$13)/(1+((10^O$13/10^O$11)-1)*EXP(-O$12*(N24-O$10)))))</f>
        <v>6.59783387423911</v>
      </c>
      <c r="R24" s="28" t="n">
        <f aca="false">(O24-Q24)^2</f>
        <v>0.000148014616029863</v>
      </c>
      <c r="Y24" s="10"/>
      <c r="Z24" s="42" t="n">
        <v>12.1666666667443</v>
      </c>
      <c r="AA24" s="42" t="n">
        <v>6.94448267215017</v>
      </c>
    </row>
    <row r="25" customFormat="false" ht="15" hidden="false" customHeight="false" outlineLevel="0" collapsed="false">
      <c r="A25" s="0" t="n">
        <f aca="false">B25/D25</f>
        <v>0</v>
      </c>
      <c r="B25" s="0" t="n">
        <v>0</v>
      </c>
      <c r="C25" s="43" t="n">
        <v>12.17</v>
      </c>
      <c r="D25" s="44" t="n">
        <v>7.06</v>
      </c>
      <c r="E25" s="45" t="n">
        <f aca="false">(D25-AVERAGE(D$21:D$53))^2</f>
        <v>0.11730625</v>
      </c>
      <c r="F25" s="46" t="n">
        <f aca="false">IF(C25&lt;$D$10,$D$11,LOG((10^$D$13)/(1+((10^$D$13/10^$D$11)-1)*EXP(-$D$12*(C25-$D$10)))))</f>
        <v>7.07191205697309</v>
      </c>
      <c r="G25" s="28" t="n">
        <f aca="false">(D25-F25)^2</f>
        <v>0.000141897101330099</v>
      </c>
      <c r="M25" s="10"/>
      <c r="N25" s="43" t="n">
        <v>12.17</v>
      </c>
      <c r="O25" s="44" t="n">
        <v>7.06</v>
      </c>
      <c r="P25" s="45" t="n">
        <f aca="false">(O25-AVERAGE(O$21:O$57))^2</f>
        <v>0.11730625</v>
      </c>
      <c r="Q25" s="46" t="n">
        <f aca="false">IF(N25&lt;O$10,O$11,LOG((10^O$13)/(1+((10^O$13/10^O$11)-1)*EXP(-O$12*(N25-O$10)))))</f>
        <v>7.07191206216227</v>
      </c>
      <c r="R25" s="28" t="n">
        <f aca="false">(O25-Q25)^2</f>
        <v>0.000141897224957777</v>
      </c>
      <c r="Y25" s="10"/>
      <c r="Z25" s="42" t="n">
        <v>24.1666666667443</v>
      </c>
      <c r="AA25" s="42"/>
    </row>
    <row r="26" customFormat="false" ht="15" hidden="false" customHeight="false" outlineLevel="0" collapsed="false">
      <c r="A26" s="0" t="e">
        <f aca="false">B26/#REF!</f>
        <v>#REF!</v>
      </c>
      <c r="B26" s="0" t="n">
        <v>2.25579422279125</v>
      </c>
      <c r="C26" s="43" t="n">
        <v>24.17</v>
      </c>
      <c r="D26" s="44" t="n">
        <v>8.2</v>
      </c>
      <c r="E26" s="45" t="n">
        <f aca="false">(D26-AVERAGE(D$21:D$53))^2</f>
        <v>0.636006249999999</v>
      </c>
      <c r="F26" s="46" t="n">
        <f aca="false">IF(C26&lt;$D$10,$D$11,LOG((10^$D$13)/(1+((10^$D$13/10^$D$11)-1)*EXP(-$D$12*(C26-$D$10)))))</f>
        <v>8.21615676095858</v>
      </c>
      <c r="G26" s="28" t="n">
        <f aca="false">(D26-F26)^2</f>
        <v>0.000261040924672644</v>
      </c>
      <c r="M26" s="10"/>
      <c r="N26" s="43" t="n">
        <v>24.17</v>
      </c>
      <c r="O26" s="44" t="n">
        <v>8.2</v>
      </c>
      <c r="P26" s="45" t="n">
        <f aca="false">(O26-AVERAGE(O$21:O$57))^2</f>
        <v>0.636006249999999</v>
      </c>
      <c r="Q26" s="46" t="n">
        <f aca="false">IF(N26&lt;O$10,O$11,LOG((10^O$13)/(1+((10^O$13/10^O$11)-1)*EXP(-O$12*(N26-O$10)))))</f>
        <v>8.21615676371311</v>
      </c>
      <c r="R26" s="28" t="n">
        <f aca="false">(O26-Q26)^2</f>
        <v>0.000261041013681244</v>
      </c>
      <c r="Y26" s="10"/>
      <c r="Z26" s="42" t="n">
        <v>27.0833333333139</v>
      </c>
      <c r="AA26" s="47"/>
    </row>
    <row r="27" customFormat="false" ht="15" hidden="false" customHeight="false" outlineLevel="0" collapsed="false">
      <c r="A27" s="0" t="e">
        <f aca="false">B27/#REF!</f>
        <v>#REF!</v>
      </c>
      <c r="B27" s="0" t="n">
        <v>0.311093742376794</v>
      </c>
      <c r="C27" s="43" t="n">
        <v>27.08</v>
      </c>
      <c r="D27" s="44" t="n">
        <v>8.26</v>
      </c>
      <c r="E27" s="45" t="n">
        <f aca="false">(D27-AVERAGE(D$21:D$53))^2</f>
        <v>0.73530625</v>
      </c>
      <c r="F27" s="46" t="n">
        <f aca="false">IF(C27&lt;$D$10,$D$11,LOG((10^$D$13)/(1+((10^$D$13/10^$D$11)-1)*EXP(-$D$12*(C27-$D$10)))))</f>
        <v>8.27002957525503</v>
      </c>
      <c r="G27" s="28" t="n">
        <f aca="false">(D27-F27)^2</f>
        <v>0.000100592379796321</v>
      </c>
      <c r="M27" s="10"/>
      <c r="N27" s="43" t="n">
        <v>27.08</v>
      </c>
      <c r="O27" s="44" t="n">
        <v>8.26</v>
      </c>
      <c r="P27" s="45" t="n">
        <f aca="false">(O27-AVERAGE(O$21:O$57))^2</f>
        <v>0.73530625</v>
      </c>
      <c r="Q27" s="46" t="n">
        <f aca="false">IF(N27&lt;O$10,O$11,LOG((10^O$13)/(1+((10^O$13/10^O$11)-1)*EXP(-O$12*(N27-O$10)))))</f>
        <v>8.2700295781397</v>
      </c>
      <c r="R27" s="28" t="n">
        <f aca="false">(O27-Q27)^2</f>
        <v>0.000100592437660294</v>
      </c>
      <c r="Y27" s="10"/>
      <c r="Z27" s="42" t="n">
        <v>30.0833333333139</v>
      </c>
      <c r="AA27" s="47"/>
    </row>
    <row r="28" customFormat="false" ht="15" hidden="false" customHeight="false" outlineLevel="0" collapsed="false">
      <c r="A28" s="0" t="e">
        <f aca="false">B28/#REF!</f>
        <v>#REF!</v>
      </c>
      <c r="B28" s="0" t="n">
        <v>2.3684216637419</v>
      </c>
      <c r="C28" s="43" t="n">
        <v>30.08</v>
      </c>
      <c r="D28" s="44" t="n">
        <v>8.33</v>
      </c>
      <c r="E28" s="45" t="n">
        <f aca="false">(D28-AVERAGE(D$21:D$53))^2</f>
        <v>0.86025625</v>
      </c>
      <c r="F28" s="46" t="n">
        <f aca="false">IF(C28&lt;$D$10,$D$11,LOG((10^$D$13)/(1+((10^$D$13/10^$D$11)-1)*EXP(-$D$12*(C28-$D$10)))))</f>
        <v>8.2911723832076</v>
      </c>
      <c r="G28" s="28" t="n">
        <f aca="false">(D28-F28)^2</f>
        <v>0.00150758382577744</v>
      </c>
      <c r="M28" s="10"/>
      <c r="N28" s="43" t="n">
        <v>30.08</v>
      </c>
      <c r="O28" s="44" t="n">
        <v>8.33</v>
      </c>
      <c r="P28" s="45" t="n">
        <f aca="false">(O28-AVERAGE(O$21:O$57))^2</f>
        <v>0.86025625</v>
      </c>
      <c r="Q28" s="46" t="n">
        <f aca="false">IF(N28&lt;O$10,O$11,LOG((10^O$13)/(1+((10^O$13/10^O$11)-1)*EXP(-O$12*(N28-O$10)))))</f>
        <v>8.29117238619796</v>
      </c>
      <c r="R28" s="28" t="n">
        <f aca="false">(O28-Q28)^2</f>
        <v>0.00150758359356077</v>
      </c>
      <c r="Y28" s="10"/>
      <c r="Z28" s="42" t="n">
        <v>33.0833333333139</v>
      </c>
      <c r="AA28" s="47"/>
    </row>
    <row r="29" customFormat="false" ht="15" hidden="false" customHeight="false" outlineLevel="0" collapsed="false">
      <c r="A29" s="0" t="e">
        <f aca="false">B29/#REF!</f>
        <v>#REF!</v>
      </c>
      <c r="B29" s="0" t="n">
        <v>3.20186472677666</v>
      </c>
      <c r="C29" s="43" t="n">
        <v>33.08</v>
      </c>
      <c r="D29" s="44" t="n">
        <v>8.27</v>
      </c>
      <c r="E29" s="45" t="n">
        <f aca="false">(D29-AVERAGE(D$21:D$53))^2</f>
        <v>0.75255625</v>
      </c>
      <c r="F29" s="46" t="n">
        <f aca="false">IF(C29&lt;$D$10,$D$11,LOG((10^$D$13)/(1+((10^$D$13/10^$D$11)-1)*EXP(-$D$12*(C29-$D$10)))))</f>
        <v>8.29865664394802</v>
      </c>
      <c r="G29" s="28" t="n">
        <f aca="false">(D29-F29)^2</f>
        <v>0.000821203242363593</v>
      </c>
      <c r="M29" s="10"/>
      <c r="N29" s="43" t="n">
        <v>33.08</v>
      </c>
      <c r="O29" s="44" t="n">
        <v>8.27</v>
      </c>
      <c r="P29" s="45" t="n">
        <f aca="false">(O29-AVERAGE(O$21:O$57))^2</f>
        <v>0.75255625</v>
      </c>
      <c r="Q29" s="46" t="n">
        <f aca="false">IF(N29&lt;O$10,O$11,LOG((10^O$13)/(1+((10^O$13/10^O$11)-1)*EXP(-O$12*(N29-O$10)))))</f>
        <v>8.29865664699483</v>
      </c>
      <c r="R29" s="28" t="n">
        <f aca="false">(O29-Q29)^2</f>
        <v>0.000821203416986144</v>
      </c>
      <c r="Y29" s="10"/>
      <c r="Z29" s="42" t="n">
        <v>35.8333333333721</v>
      </c>
      <c r="AA29" s="42" t="n">
        <v>8.22010808804006</v>
      </c>
    </row>
    <row r="30" customFormat="false" ht="15" hidden="false" customHeight="false" outlineLevel="0" collapsed="false">
      <c r="A30" s="0" t="e">
        <f aca="false">B30/#REF!</f>
        <v>#REF!</v>
      </c>
      <c r="B30" s="0" t="n">
        <v>3.58855227404054</v>
      </c>
      <c r="C30" s="43" t="n">
        <v>35.83</v>
      </c>
      <c r="D30" s="44" t="n">
        <v>8.35</v>
      </c>
      <c r="E30" s="45" t="n">
        <f aca="false">(D30-AVERAGE(D$21:D$53))^2</f>
        <v>0.89775625</v>
      </c>
      <c r="F30" s="46" t="n">
        <f aca="false">IF(C30&lt;$D$10,$D$11,LOG((10^$D$13)/(1+((10^$D$13/10^$D$11)-1)*EXP(-$D$12*(C30-$D$10)))))</f>
        <v>8.30112327598444</v>
      </c>
      <c r="G30" s="28" t="n">
        <f aca="false">(D30-F30)^2</f>
        <v>0.0023889341504936</v>
      </c>
      <c r="M30" s="10"/>
      <c r="N30" s="43" t="n">
        <v>35.83</v>
      </c>
      <c r="O30" s="44" t="n">
        <v>8.35</v>
      </c>
      <c r="P30" s="45" t="n">
        <f aca="false">(O30-AVERAGE(O$21:O$57))^2</f>
        <v>0.89775625</v>
      </c>
      <c r="Q30" s="46" t="n">
        <f aca="false">IF(N30&lt;O$10,O$11,LOG((10^O$13)/(1+((10^O$13/10^O$11)-1)*EXP(-O$12*(N30-O$10)))))</f>
        <v>8.30112327905573</v>
      </c>
      <c r="R30" s="28" t="n">
        <f aca="false">(O30-Q30)^2</f>
        <v>0.00238893385026382</v>
      </c>
      <c r="Y30" s="10"/>
      <c r="Z30" s="42" t="n">
        <v>48.25</v>
      </c>
      <c r="AA30" s="42" t="n">
        <v>8.35793484700045</v>
      </c>
    </row>
    <row r="31" customFormat="false" ht="15" hidden="false" customHeight="false" outlineLevel="0" collapsed="false">
      <c r="A31" s="0" t="e">
        <f aca="false">B31/#REF!</f>
        <v>#REF!</v>
      </c>
      <c r="B31" s="0" t="n">
        <v>3.86261238035378</v>
      </c>
      <c r="C31" s="43" t="n">
        <v>48.25</v>
      </c>
      <c r="D31" s="44" t="n">
        <v>8.3</v>
      </c>
      <c r="E31" s="45" t="n">
        <f aca="false">(D31-AVERAGE(D$21:D$53))^2</f>
        <v>0.805506250000002</v>
      </c>
      <c r="F31" s="46" t="n">
        <f aca="false">IF(C31&lt;$D$10,$D$11,LOG((10^$D$13)/(1+((10^$D$13/10^$D$11)-1)*EXP(-$D$12*(C31-$D$10)))))</f>
        <v>8.30258904101108</v>
      </c>
      <c r="G31" s="28" t="n">
        <f aca="false">(D31-F31)^2</f>
        <v>6.70313335705091E-006</v>
      </c>
      <c r="M31" s="10"/>
      <c r="N31" s="43" t="n">
        <v>48.25</v>
      </c>
      <c r="O31" s="44" t="n">
        <v>8.3</v>
      </c>
      <c r="P31" s="45" t="n">
        <f aca="false">(O31-AVERAGE(O$21:O$57))^2</f>
        <v>0.805506250000002</v>
      </c>
      <c r="Q31" s="46" t="n">
        <f aca="false">IF(N31&lt;O$10,O$11,LOG((10^O$13)/(1+((10^O$13/10^O$11)-1)*EXP(-O$12*(N31-O$10)))))</f>
        <v>8.30258904410189</v>
      </c>
      <c r="R31" s="28" t="n">
        <f aca="false">(O31-Q31)^2</f>
        <v>6.70314936154337E-006</v>
      </c>
      <c r="Y31" s="10"/>
      <c r="Z31" s="42" t="n">
        <v>54.0833333333139</v>
      </c>
      <c r="AA31" s="42" t="n">
        <v>8.40483371661994</v>
      </c>
    </row>
    <row r="32" customFormat="false" ht="15" hidden="false" customHeight="false" outlineLevel="0" collapsed="false">
      <c r="C32" s="43" t="n">
        <v>54.08</v>
      </c>
      <c r="D32" s="44" t="n">
        <v>8.27</v>
      </c>
      <c r="E32" s="45" t="n">
        <f aca="false">(D32-AVERAGE(D$21:D$53))^2</f>
        <v>0.75255625</v>
      </c>
      <c r="F32" s="46" t="n">
        <f aca="false">IF(C32&lt;$D$10,$D$11,LOG((10^$D$13)/(1+((10^$D$13/10^$D$11)-1)*EXP(-$D$12*(C32-$D$10)))))</f>
        <v>8.30260444230028</v>
      </c>
      <c r="G32" s="28" t="n">
        <f aca="false">(D32-F32)^2</f>
        <v>0.00106304965771235</v>
      </c>
      <c r="M32" s="10"/>
      <c r="N32" s="43" t="n">
        <v>54.08</v>
      </c>
      <c r="O32" s="44" t="n">
        <v>8.27</v>
      </c>
      <c r="P32" s="45" t="n">
        <f aca="false">(O32-AVERAGE(O$21:O$57))^2</f>
        <v>0.75255625</v>
      </c>
      <c r="Q32" s="46" t="n">
        <f aca="false">IF(N32&lt;O$10,O$11,LOG((10^O$13)/(1+((10^O$13/10^O$11)-1)*EXP(-O$12*(N32-O$10)))))</f>
        <v>8.30260444539144</v>
      </c>
      <c r="R32" s="28" t="n">
        <f aca="false">(O32-Q32)^2</f>
        <v>0.00106304985928364</v>
      </c>
      <c r="Y32" s="10"/>
    </row>
    <row r="33" customFormat="false" ht="15" hidden="false" customHeight="false" outlineLevel="0" collapsed="false">
      <c r="C33" s="43"/>
      <c r="D33" s="48"/>
      <c r="E33" s="45"/>
      <c r="F33" s="46"/>
      <c r="G33" s="28"/>
      <c r="M33" s="10"/>
      <c r="N33" s="43"/>
      <c r="O33" s="48"/>
      <c r="P33" s="45"/>
      <c r="Q33" s="46"/>
      <c r="R33" s="28"/>
      <c r="Y33" s="10"/>
    </row>
    <row r="34" customFormat="false" ht="15" hidden="false" customHeight="false" outlineLevel="0" collapsed="false">
      <c r="C34" s="43"/>
      <c r="D34" s="48"/>
      <c r="E34" s="45"/>
      <c r="F34" s="46"/>
      <c r="G34" s="28"/>
      <c r="M34" s="10"/>
      <c r="N34" s="43"/>
      <c r="O34" s="48"/>
      <c r="P34" s="45"/>
      <c r="Q34" s="46"/>
      <c r="R34" s="28"/>
      <c r="Y34" s="10"/>
    </row>
    <row r="35" customFormat="false" ht="15" hidden="false" customHeight="false" outlineLevel="0" collapsed="false">
      <c r="C35" s="43"/>
      <c r="D35" s="48"/>
      <c r="E35" s="45"/>
      <c r="F35" s="46"/>
      <c r="G35" s="28"/>
      <c r="M35" s="10"/>
      <c r="N35" s="43"/>
      <c r="O35" s="48"/>
      <c r="P35" s="45"/>
      <c r="Q35" s="46"/>
      <c r="R35" s="28"/>
      <c r="Y35" s="10"/>
    </row>
    <row r="36" customFormat="false" ht="15" hidden="false" customHeight="false" outlineLevel="0" collapsed="false">
      <c r="C36" s="43"/>
      <c r="D36" s="48"/>
      <c r="E36" s="45"/>
      <c r="F36" s="46"/>
      <c r="G36" s="28"/>
      <c r="M36" s="10"/>
      <c r="N36" s="43"/>
      <c r="O36" s="48"/>
      <c r="P36" s="45"/>
      <c r="Q36" s="46"/>
      <c r="R36" s="28"/>
      <c r="Y36" s="10"/>
    </row>
    <row r="37" customFormat="false" ht="15" hidden="false" customHeight="false" outlineLevel="0" collapsed="false">
      <c r="C37" s="43"/>
      <c r="D37" s="48"/>
      <c r="E37" s="45"/>
      <c r="F37" s="46"/>
      <c r="G37" s="28"/>
      <c r="M37" s="10"/>
      <c r="N37" s="43"/>
      <c r="O37" s="48"/>
      <c r="P37" s="45"/>
      <c r="Q37" s="46"/>
      <c r="R37" s="28"/>
      <c r="Y37" s="10"/>
    </row>
    <row r="38" customFormat="false" ht="15" hidden="false" customHeight="false" outlineLevel="0" collapsed="false">
      <c r="C38" s="43"/>
      <c r="D38" s="48"/>
      <c r="E38" s="45"/>
      <c r="F38" s="46"/>
      <c r="G38" s="28"/>
      <c r="M38" s="10"/>
      <c r="N38" s="43"/>
      <c r="O38" s="48"/>
      <c r="P38" s="45"/>
      <c r="Q38" s="46"/>
      <c r="R38" s="28"/>
      <c r="Y38" s="10"/>
    </row>
    <row r="39" customFormat="false" ht="15" hidden="false" customHeight="false" outlineLevel="0" collapsed="false">
      <c r="C39" s="43"/>
      <c r="D39" s="48"/>
      <c r="E39" s="45"/>
      <c r="F39" s="46"/>
      <c r="G39" s="28"/>
      <c r="M39" s="10"/>
      <c r="N39" s="43"/>
      <c r="O39" s="48"/>
      <c r="P39" s="45"/>
      <c r="Q39" s="46"/>
      <c r="R39" s="28"/>
      <c r="Y39" s="10"/>
    </row>
    <row r="40" customFormat="false" ht="15" hidden="false" customHeight="false" outlineLevel="0" collapsed="false">
      <c r="C40" s="43"/>
      <c r="D40" s="48"/>
      <c r="E40" s="45"/>
      <c r="F40" s="46"/>
      <c r="G40" s="28"/>
      <c r="M40" s="10"/>
      <c r="N40" s="43"/>
      <c r="O40" s="48"/>
      <c r="P40" s="45"/>
      <c r="Q40" s="46"/>
      <c r="R40" s="28"/>
      <c r="Y40" s="10"/>
    </row>
    <row r="41" customFormat="false" ht="15" hidden="false" customHeight="false" outlineLevel="0" collapsed="false">
      <c r="C41" s="43"/>
      <c r="D41" s="48"/>
      <c r="E41" s="45"/>
      <c r="F41" s="46"/>
      <c r="G41" s="28"/>
      <c r="M41" s="10"/>
      <c r="N41" s="43"/>
      <c r="O41" s="48"/>
      <c r="P41" s="45"/>
      <c r="Q41" s="46"/>
      <c r="R41" s="28"/>
      <c r="Y41" s="10"/>
    </row>
    <row r="42" customFormat="false" ht="15" hidden="false" customHeight="false" outlineLevel="0" collapsed="false">
      <c r="C42" s="43"/>
      <c r="D42" s="48"/>
      <c r="E42" s="45"/>
      <c r="F42" s="46"/>
      <c r="G42" s="28"/>
      <c r="M42" s="10"/>
      <c r="N42" s="43"/>
      <c r="O42" s="48"/>
      <c r="P42" s="45"/>
      <c r="Q42" s="46"/>
      <c r="R42" s="28"/>
      <c r="Y42" s="10"/>
    </row>
    <row r="43" customFormat="false" ht="15" hidden="false" customHeight="false" outlineLevel="0" collapsed="false">
      <c r="C43" s="43"/>
      <c r="D43" s="48"/>
      <c r="E43" s="45"/>
      <c r="F43" s="46"/>
      <c r="G43" s="28"/>
      <c r="M43" s="10"/>
      <c r="N43" s="43"/>
      <c r="O43" s="48"/>
      <c r="P43" s="45"/>
      <c r="Q43" s="46"/>
      <c r="R43" s="28"/>
      <c r="Y43" s="10"/>
    </row>
    <row r="44" customFormat="false" ht="15" hidden="false" customHeight="false" outlineLevel="0" collapsed="false">
      <c r="C44" s="43"/>
      <c r="D44" s="48"/>
      <c r="E44" s="45"/>
      <c r="F44" s="46"/>
      <c r="G44" s="28"/>
      <c r="M44" s="10"/>
      <c r="N44" s="43"/>
      <c r="O44" s="48"/>
      <c r="P44" s="45"/>
      <c r="Q44" s="46"/>
      <c r="R44" s="28"/>
      <c r="Y44" s="10"/>
    </row>
    <row r="45" customFormat="false" ht="15" hidden="false" customHeight="false" outlineLevel="0" collapsed="false">
      <c r="C45" s="43"/>
      <c r="D45" s="48"/>
      <c r="E45" s="45"/>
      <c r="F45" s="46"/>
      <c r="G45" s="28"/>
      <c r="M45" s="10"/>
      <c r="N45" s="43"/>
      <c r="O45" s="48"/>
      <c r="P45" s="45"/>
      <c r="Q45" s="46"/>
      <c r="R45" s="28"/>
      <c r="Y45" s="10"/>
    </row>
    <row r="46" customFormat="false" ht="15" hidden="false" customHeight="false" outlineLevel="0" collapsed="false">
      <c r="C46" s="43"/>
      <c r="D46" s="48"/>
      <c r="E46" s="45"/>
      <c r="F46" s="46"/>
      <c r="G46" s="28"/>
      <c r="M46" s="10"/>
      <c r="N46" s="43"/>
      <c r="O46" s="48"/>
      <c r="P46" s="45"/>
      <c r="Q46" s="46"/>
      <c r="R46" s="28"/>
      <c r="Y46" s="10"/>
    </row>
    <row r="47" customFormat="false" ht="15" hidden="false" customHeight="false" outlineLevel="0" collapsed="false">
      <c r="C47" s="43"/>
      <c r="D47" s="48"/>
      <c r="E47" s="45"/>
      <c r="F47" s="46"/>
      <c r="G47" s="28"/>
      <c r="M47" s="10"/>
      <c r="N47" s="43"/>
      <c r="O47" s="48"/>
      <c r="P47" s="45"/>
      <c r="Q47" s="46"/>
      <c r="R47" s="28"/>
      <c r="Y47" s="10"/>
    </row>
    <row r="48" customFormat="false" ht="15" hidden="false" customHeight="false" outlineLevel="0" collapsed="false">
      <c r="C48" s="43"/>
      <c r="D48" s="48"/>
      <c r="E48" s="45"/>
      <c r="F48" s="46"/>
      <c r="G48" s="28"/>
      <c r="M48" s="10"/>
      <c r="N48" s="43"/>
      <c r="O48" s="48"/>
      <c r="P48" s="45"/>
      <c r="Q48" s="46"/>
      <c r="R48" s="28"/>
      <c r="Y48" s="10"/>
    </row>
    <row r="49" customFormat="false" ht="15" hidden="false" customHeight="false" outlineLevel="0" collapsed="false">
      <c r="C49" s="43"/>
      <c r="D49" s="48"/>
      <c r="E49" s="45"/>
      <c r="F49" s="46"/>
      <c r="G49" s="28"/>
      <c r="M49" s="10"/>
      <c r="N49" s="43"/>
      <c r="O49" s="48"/>
      <c r="P49" s="45"/>
      <c r="Q49" s="46"/>
      <c r="R49" s="28"/>
      <c r="Y49" s="10"/>
    </row>
    <row r="50" customFormat="false" ht="15" hidden="false" customHeight="false" outlineLevel="0" collapsed="false">
      <c r="C50" s="43"/>
      <c r="D50" s="48"/>
      <c r="E50" s="45"/>
      <c r="F50" s="46"/>
      <c r="G50" s="28"/>
      <c r="M50" s="10"/>
      <c r="N50" s="43"/>
      <c r="O50" s="48"/>
      <c r="P50" s="45"/>
      <c r="Q50" s="46"/>
      <c r="R50" s="28"/>
      <c r="Y50" s="10"/>
    </row>
    <row r="51" customFormat="false" ht="15" hidden="false" customHeight="false" outlineLevel="0" collapsed="false">
      <c r="C51" s="43"/>
      <c r="D51" s="48"/>
      <c r="E51" s="45"/>
      <c r="F51" s="46"/>
      <c r="G51" s="28"/>
      <c r="M51" s="10"/>
      <c r="N51" s="43"/>
      <c r="O51" s="48"/>
      <c r="P51" s="45"/>
      <c r="Q51" s="46"/>
      <c r="R51" s="28"/>
      <c r="Y51" s="10"/>
    </row>
    <row r="52" customFormat="false" ht="15" hidden="false" customHeight="false" outlineLevel="0" collapsed="false">
      <c r="C52" s="43"/>
      <c r="D52" s="48"/>
      <c r="E52" s="45"/>
      <c r="F52" s="46"/>
      <c r="G52" s="28"/>
      <c r="M52" s="10"/>
      <c r="N52" s="43"/>
      <c r="O52" s="48"/>
      <c r="P52" s="45"/>
      <c r="Q52" s="46"/>
      <c r="R52" s="28"/>
      <c r="Y52" s="10"/>
    </row>
    <row r="53" customFormat="false" ht="15" hidden="false" customHeight="false" outlineLevel="0" collapsed="false">
      <c r="C53" s="43"/>
      <c r="D53" s="48"/>
      <c r="E53" s="45"/>
      <c r="F53" s="46"/>
      <c r="G53" s="28"/>
      <c r="M53" s="10"/>
      <c r="N53" s="43"/>
      <c r="O53" s="48"/>
      <c r="P53" s="45"/>
      <c r="Q53" s="46"/>
      <c r="R53" s="28"/>
      <c r="Y53" s="10"/>
    </row>
    <row r="54" customFormat="false" ht="15.75" hidden="false" customHeight="false" outlineLevel="0" collapsed="false">
      <c r="C54" s="49"/>
      <c r="D54" s="50" t="s">
        <v>21</v>
      </c>
      <c r="E54" s="45"/>
      <c r="F54" s="46"/>
      <c r="G54" s="28"/>
      <c r="M54" s="10"/>
      <c r="N54" s="43"/>
      <c r="O54" s="48"/>
      <c r="P54" s="45"/>
      <c r="Q54" s="46"/>
      <c r="R54" s="28"/>
      <c r="Y54" s="10"/>
    </row>
    <row r="55" customFormat="false" ht="15" hidden="false" customHeight="false" outlineLevel="0" collapsed="false">
      <c r="E55" s="45"/>
      <c r="F55" s="46"/>
      <c r="G55" s="28"/>
      <c r="M55" s="10"/>
      <c r="N55" s="43"/>
      <c r="O55" s="48"/>
      <c r="P55" s="45"/>
      <c r="Q55" s="46"/>
      <c r="R55" s="28"/>
      <c r="Y55" s="10"/>
    </row>
    <row r="56" customFormat="false" ht="15" hidden="false" customHeight="false" outlineLevel="0" collapsed="false">
      <c r="E56" s="45"/>
      <c r="F56" s="46"/>
      <c r="G56" s="28"/>
      <c r="M56" s="10"/>
      <c r="N56" s="43"/>
      <c r="O56" s="48"/>
      <c r="P56" s="45"/>
      <c r="Q56" s="46"/>
      <c r="R56" s="28"/>
      <c r="Y56" s="10"/>
    </row>
    <row r="57" customFormat="false" ht="15" hidden="false" customHeight="false" outlineLevel="0" collapsed="false">
      <c r="E57" s="45"/>
      <c r="F57" s="46"/>
      <c r="G57" s="28"/>
      <c r="M57" s="10"/>
      <c r="N57" s="43"/>
      <c r="O57" s="48"/>
      <c r="P57" s="45"/>
      <c r="Q57" s="46"/>
      <c r="R57" s="28"/>
      <c r="Y57" s="10"/>
    </row>
    <row r="58" customFormat="false" ht="15.75" hidden="false" customHeight="false" outlineLevel="0" collapsed="false">
      <c r="E58" s="50" t="n">
        <f aca="false">SUM(E21:E57)</f>
        <v>14.940625</v>
      </c>
      <c r="F58" s="51"/>
      <c r="G58" s="51"/>
      <c r="H58" s="51"/>
      <c r="I58" s="51"/>
      <c r="J58" s="51"/>
      <c r="K58" s="51"/>
      <c r="L58" s="51"/>
      <c r="M58" s="52"/>
      <c r="N58" s="49"/>
      <c r="O58" s="53" t="s">
        <v>21</v>
      </c>
      <c r="P58" s="54" t="n">
        <f aca="false">SUM(P21:P57)</f>
        <v>14.940625</v>
      </c>
      <c r="Q58" s="51"/>
      <c r="R58" s="51"/>
      <c r="S58" s="51"/>
      <c r="T58" s="51"/>
      <c r="U58" s="51"/>
      <c r="V58" s="51"/>
      <c r="W58" s="51"/>
      <c r="X58" s="51"/>
      <c r="Y58" s="52"/>
    </row>
    <row r="59" customFormat="false" ht="20.25" hidden="false" customHeight="false" outlineLevel="0" collapsed="false">
      <c r="F59" s="55" t="s">
        <v>38</v>
      </c>
    </row>
    <row r="60" customFormat="false" ht="15.75" hidden="false" customHeight="false" outlineLevel="0" collapsed="false">
      <c r="K60" s="56" t="s">
        <v>39</v>
      </c>
      <c r="L60" s="57" t="n">
        <f aca="false">($I$62-$I$65)/($I$63-$I$66)/($I$65/$I$66)</f>
        <v>-3.98712372123628E-010</v>
      </c>
    </row>
    <row r="61" customFormat="false" ht="15.75" hidden="false" customHeight="false" outlineLevel="0" collapsed="false">
      <c r="H61" s="58"/>
      <c r="I61" s="58" t="s">
        <v>40</v>
      </c>
      <c r="K61" s="58"/>
      <c r="L61" s="59"/>
    </row>
    <row r="62" customFormat="false" ht="15.75" hidden="false" customHeight="false" outlineLevel="0" collapsed="false">
      <c r="G62" s="58"/>
      <c r="H62" s="58" t="s">
        <v>41</v>
      </c>
      <c r="I62" s="60" t="n">
        <f aca="false">P11</f>
        <v>0.00743841311468283</v>
      </c>
      <c r="K62" s="61" t="s">
        <v>42</v>
      </c>
      <c r="L62" s="61" t="n">
        <f aca="false">_xlfn.F.INV.RT(0.05,1,I66)</f>
        <v>5.31765507157871</v>
      </c>
    </row>
    <row r="63" customFormat="false" ht="15.75" hidden="false" customHeight="false" outlineLevel="0" collapsed="false">
      <c r="G63" s="58"/>
      <c r="H63" s="58" t="s">
        <v>43</v>
      </c>
      <c r="I63" s="62" t="n">
        <f aca="false">$U$6-$U$8</f>
        <v>9</v>
      </c>
      <c r="K63" s="61" t="s">
        <v>44</v>
      </c>
      <c r="L63" s="61" t="n">
        <f aca="false">_xlfn.F.INV.RT(0.01,1,I66)</f>
        <v>11.2586241432726</v>
      </c>
    </row>
    <row r="64" customFormat="false" ht="15.75" hidden="false" customHeight="false" outlineLevel="0" collapsed="false">
      <c r="G64" s="58"/>
      <c r="H64" s="58"/>
      <c r="I64" s="58" t="s">
        <v>45</v>
      </c>
    </row>
    <row r="65" customFormat="false" ht="26.25" hidden="false" customHeight="false" outlineLevel="0" collapsed="false">
      <c r="G65" s="58"/>
      <c r="H65" s="58" t="s">
        <v>46</v>
      </c>
      <c r="I65" s="60" t="n">
        <f aca="false">E11</f>
        <v>0.00743841311505356</v>
      </c>
      <c r="K65" s="63" t="s">
        <v>47</v>
      </c>
    </row>
    <row r="66" customFormat="false" ht="15.75" hidden="false" customHeight="false" outlineLevel="0" collapsed="false">
      <c r="H66" s="58" t="s">
        <v>48</v>
      </c>
      <c r="I66" s="62" t="n">
        <f aca="false">$H$6-$H$8</f>
        <v>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3:AD66"/>
  <sheetViews>
    <sheetView showFormulas="false" showGridLines="true" showRowColHeaders="true" showZeros="true" rightToLeft="false" tabSelected="false" showOutlineSymbols="true" defaultGridColor="true" view="normal" topLeftCell="M7" colorId="64" zoomScale="85" zoomScaleNormal="85" zoomScalePageLayoutView="100" workbookViewId="0">
      <selection pane="topLeft" activeCell="N14" activeCellId="0" sqref="N14"/>
    </sheetView>
  </sheetViews>
  <sheetFormatPr defaultColWidth="11.42578125" defaultRowHeight="15" zeroHeight="false" outlineLevelRow="0" outlineLevelCol="0"/>
  <cols>
    <col collapsed="false" customWidth="true" hidden="true" outlineLevel="0" max="12" min="1" style="0" width="11.53"/>
  </cols>
  <sheetData>
    <row r="3" customFormat="false" ht="45.75" hidden="false" customHeight="false" outlineLevel="0" collapsed="false">
      <c r="B3" s="1"/>
    </row>
    <row r="4" customFormat="false" ht="15.75" hidden="false" customHeight="false" outlineLevel="0" collapsed="false">
      <c r="B4" s="2" t="s">
        <v>0</v>
      </c>
      <c r="C4" s="3"/>
      <c r="D4" s="3"/>
      <c r="E4" s="4"/>
      <c r="F4" s="4"/>
      <c r="G4" s="4"/>
      <c r="H4" s="4"/>
      <c r="I4" s="4"/>
      <c r="J4" s="4"/>
      <c r="K4" s="4"/>
      <c r="L4" s="5"/>
      <c r="M4" s="6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5"/>
    </row>
    <row r="5" customFormat="false" ht="16.5" hidden="false" customHeight="false" outlineLevel="0" collapsed="false">
      <c r="B5" s="7" t="s">
        <v>1</v>
      </c>
      <c r="C5" s="8"/>
      <c r="D5" s="8"/>
      <c r="G5" s="9" t="s">
        <v>2</v>
      </c>
      <c r="K5" s="9" t="s">
        <v>3</v>
      </c>
      <c r="L5" s="10"/>
      <c r="M5" s="7" t="s">
        <v>4</v>
      </c>
      <c r="W5" s="8"/>
      <c r="X5" s="9" t="s">
        <v>2</v>
      </c>
      <c r="Z5" s="9" t="s">
        <v>5</v>
      </c>
      <c r="AB5" s="10"/>
    </row>
    <row r="6" customFormat="false" ht="17.25" hidden="false" customHeight="false" outlineLevel="0" collapsed="false">
      <c r="B6" s="11" t="s">
        <v>49</v>
      </c>
      <c r="C6" s="12" t="s">
        <v>50</v>
      </c>
      <c r="D6" s="13"/>
      <c r="E6" s="14"/>
      <c r="F6" s="14"/>
      <c r="G6" s="15" t="n">
        <f aca="false">COUNT(F21:F36)</f>
        <v>9</v>
      </c>
      <c r="L6" s="10"/>
      <c r="M6" s="16"/>
      <c r="N6" s="12" t="s">
        <v>8</v>
      </c>
      <c r="O6" s="14"/>
      <c r="P6" s="12"/>
      <c r="Q6" s="12"/>
      <c r="R6" s="12"/>
      <c r="W6" s="8"/>
      <c r="X6" s="15" t="n">
        <f aca="false">COUNT(S21:S45)</f>
        <v>12</v>
      </c>
      <c r="AB6" s="10"/>
    </row>
    <row r="7" customFormat="false" ht="17.25" hidden="false" customHeight="false" outlineLevel="0" collapsed="false">
      <c r="B7" s="11" t="s">
        <v>51</v>
      </c>
      <c r="C7" s="12" t="s">
        <v>52</v>
      </c>
      <c r="D7" s="13"/>
      <c r="E7" s="14"/>
      <c r="F7" s="14"/>
      <c r="G7" s="9" t="s">
        <v>11</v>
      </c>
      <c r="L7" s="10"/>
      <c r="M7" s="16"/>
      <c r="N7" s="12" t="s">
        <v>52</v>
      </c>
      <c r="X7" s="9" t="s">
        <v>11</v>
      </c>
      <c r="AB7" s="10"/>
    </row>
    <row r="8" customFormat="false" ht="15.75" hidden="false" customHeight="false" outlineLevel="0" collapsed="false">
      <c r="B8" s="16"/>
      <c r="E8" s="17"/>
      <c r="F8" s="17"/>
      <c r="G8" s="15" t="n">
        <f aca="false">COUNT(C10:C13)</f>
        <v>4</v>
      </c>
      <c r="L8" s="10"/>
      <c r="M8" s="16"/>
      <c r="X8" s="15" t="n">
        <f aca="false">COUNT(N11:N13)</f>
        <v>3</v>
      </c>
      <c r="AB8" s="10"/>
    </row>
    <row r="9" customFormat="false" ht="15.75" hidden="false" customHeight="false" outlineLevel="0" collapsed="false">
      <c r="B9" s="18" t="s">
        <v>12</v>
      </c>
      <c r="G9" s="19" t="s">
        <v>13</v>
      </c>
      <c r="L9" s="10"/>
      <c r="M9" s="18" t="s">
        <v>12</v>
      </c>
      <c r="P9" s="8"/>
      <c r="Q9" s="8"/>
      <c r="X9" s="19" t="s">
        <v>13</v>
      </c>
      <c r="AB9" s="10"/>
    </row>
    <row r="10" customFormat="false" ht="15.75" hidden="false" customHeight="false" outlineLevel="0" collapsed="false">
      <c r="B10" s="20" t="s">
        <v>14</v>
      </c>
      <c r="C10" s="24" t="n">
        <v>0.972171369313439</v>
      </c>
      <c r="D10" s="22" t="s">
        <v>15</v>
      </c>
      <c r="G10" s="23" t="e">
        <f aca="false">D11/(G6-G8)</f>
        <v>#REF!</v>
      </c>
      <c r="L10" s="10"/>
      <c r="M10" s="20" t="s">
        <v>16</v>
      </c>
      <c r="N10" s="24" t="n">
        <v>0</v>
      </c>
      <c r="O10" s="22" t="s">
        <v>15</v>
      </c>
      <c r="X10" s="23" t="n">
        <f aca="false">O11/(X6-X8)</f>
        <v>0.121874760844678</v>
      </c>
      <c r="AB10" s="10"/>
    </row>
    <row r="11" customFormat="false" ht="17.25" hidden="false" customHeight="false" outlineLevel="0" collapsed="false">
      <c r="B11" s="25" t="s">
        <v>17</v>
      </c>
      <c r="C11" s="64" t="n">
        <v>5.19587650623435</v>
      </c>
      <c r="D11" s="27" t="e">
        <f aca="false">SUM(F21:F57)</f>
        <v>#REF!</v>
      </c>
      <c r="G11" s="28"/>
      <c r="L11" s="10"/>
      <c r="M11" s="25" t="s">
        <v>17</v>
      </c>
      <c r="N11" s="26" t="n">
        <v>5.21004470044122</v>
      </c>
      <c r="O11" s="27" t="n">
        <f aca="false">SUM(S21:S45)</f>
        <v>1.0968728476021</v>
      </c>
      <c r="X11" s="28"/>
      <c r="AB11" s="10"/>
    </row>
    <row r="12" customFormat="false" ht="17.25" hidden="false" customHeight="false" outlineLevel="0" collapsed="false">
      <c r="B12" s="25" t="s">
        <v>18</v>
      </c>
      <c r="C12" s="64" t="n">
        <v>0.364136545809149</v>
      </c>
      <c r="D12" s="22" t="s">
        <v>19</v>
      </c>
      <c r="G12" s="19" t="s">
        <v>20</v>
      </c>
      <c r="I12" s="9" t="s">
        <v>21</v>
      </c>
      <c r="L12" s="10"/>
      <c r="M12" s="25" t="s">
        <v>22</v>
      </c>
      <c r="N12" s="26" t="n">
        <v>0.357180684945069</v>
      </c>
      <c r="O12" s="22" t="s">
        <v>19</v>
      </c>
      <c r="X12" s="19" t="s">
        <v>20</v>
      </c>
      <c r="Z12" s="9" t="s">
        <v>21</v>
      </c>
      <c r="AB12" s="10"/>
    </row>
    <row r="13" customFormat="false" ht="17.25" hidden="false" customHeight="false" outlineLevel="0" collapsed="false">
      <c r="B13" s="29" t="s">
        <v>23</v>
      </c>
      <c r="C13" s="65" t="n">
        <v>8.06445389424692</v>
      </c>
      <c r="D13" s="31" t="e">
        <f aca="false">SQRT(D11/(COUNT(F21:F57)-G8))</f>
        <v>#REF!</v>
      </c>
      <c r="G13" s="23" t="e">
        <f aca="false">1-D11/I13</f>
        <v>#REF!</v>
      </c>
      <c r="I13" s="23" t="n">
        <f aca="false">D58</f>
        <v>14.2023980775639</v>
      </c>
      <c r="L13" s="10"/>
      <c r="M13" s="29" t="s">
        <v>23</v>
      </c>
      <c r="N13" s="30" t="n">
        <v>8.30260663828688</v>
      </c>
      <c r="O13" s="32" t="n">
        <f aca="false">SQRT(O11/(COUNT(R21:R45)-X8))</f>
        <v>0.349105658568688</v>
      </c>
      <c r="X13" s="23" t="n">
        <f aca="false">1-O11/Z13</f>
        <v>0.936764689375413</v>
      </c>
      <c r="Z13" s="23" t="n">
        <f aca="false">O58</f>
        <v>17.3458916666667</v>
      </c>
      <c r="AB13" s="10"/>
    </row>
    <row r="14" customFormat="false" ht="15.75" hidden="false" customHeight="false" outlineLevel="0" collapsed="false">
      <c r="B14" s="16" t="s">
        <v>24</v>
      </c>
      <c r="C14" s="66" t="n">
        <v>1.42200555937544</v>
      </c>
      <c r="E14" s="33"/>
      <c r="F14" s="34"/>
      <c r="G14" s="19" t="s">
        <v>25</v>
      </c>
      <c r="L14" s="10"/>
      <c r="M14" s="16" t="s">
        <v>53</v>
      </c>
      <c r="N14" s="66" t="n">
        <v>1.56945165983737</v>
      </c>
      <c r="X14" s="19" t="s">
        <v>25</v>
      </c>
      <c r="AB14" s="10"/>
    </row>
    <row r="15" customFormat="false" ht="15.75" hidden="false" customHeight="false" outlineLevel="0" collapsed="false">
      <c r="B15" s="16" t="s">
        <v>54</v>
      </c>
      <c r="C15" s="66" t="n">
        <v>17.211582999633</v>
      </c>
      <c r="E15" s="33"/>
      <c r="F15" s="34"/>
      <c r="G15" s="23" t="e">
        <f aca="false">(((G6-1)*G13)-(G8+1))/(G6-G8)</f>
        <v>#REF!</v>
      </c>
      <c r="L15" s="10"/>
      <c r="M15" s="16" t="s">
        <v>54</v>
      </c>
      <c r="N15" s="66" t="n">
        <v>19.5657351010846</v>
      </c>
      <c r="X15" s="23" t="n">
        <f aca="false">(((X6-1)*X13)-(X8+1))/(X6-X8)</f>
        <v>0.700490175903283</v>
      </c>
      <c r="AB15" s="10"/>
    </row>
    <row r="16" customFormat="false" ht="18.75" hidden="false" customHeight="false" outlineLevel="0" collapsed="false">
      <c r="B16" s="16" t="s">
        <v>55</v>
      </c>
      <c r="C16" s="66" t="n">
        <v>0</v>
      </c>
      <c r="E16" s="33"/>
      <c r="F16" s="34"/>
      <c r="H16" s="35" t="s">
        <v>26</v>
      </c>
      <c r="I16" s="36"/>
      <c r="L16" s="10"/>
      <c r="M16" s="16" t="s">
        <v>55</v>
      </c>
      <c r="N16" s="66" t="n">
        <v>0</v>
      </c>
      <c r="Y16" s="35" t="s">
        <v>26</v>
      </c>
      <c r="Z16" s="36"/>
      <c r="AB16" s="10"/>
    </row>
    <row r="17" customFormat="false" ht="15.75" hidden="false" customHeight="false" outlineLevel="0" collapsed="false">
      <c r="B17" s="16"/>
      <c r="E17" s="33"/>
      <c r="F17" s="34"/>
      <c r="H17" s="23" t="e">
        <f aca="false">1-(1-G13)*((G6-1)/(G6-(G8-1)-1))</f>
        <v>#REF!</v>
      </c>
      <c r="L17" s="10"/>
      <c r="M17" s="16"/>
      <c r="Y17" s="23" t="n">
        <f aca="false">1-(1-X13)*((X6-1)/(X6-(X8-1)-1))</f>
        <v>0.922712398125505</v>
      </c>
      <c r="AB17" s="10"/>
    </row>
    <row r="18" customFormat="false" ht="15" hidden="false" customHeight="false" outlineLevel="0" collapsed="false">
      <c r="B18" s="16"/>
      <c r="E18" s="33"/>
      <c r="F18" s="34"/>
      <c r="G18" s="17"/>
      <c r="H18" s="8"/>
      <c r="L18" s="10"/>
      <c r="M18" s="16"/>
      <c r="AB18" s="10"/>
    </row>
    <row r="19" customFormat="false" ht="15" hidden="false" customHeight="false" outlineLevel="0" collapsed="false">
      <c r="B19" s="18" t="s">
        <v>27</v>
      </c>
      <c r="E19" s="37" t="s">
        <v>28</v>
      </c>
      <c r="H19" s="37" t="s">
        <v>29</v>
      </c>
      <c r="L19" s="10"/>
      <c r="M19" s="18" t="s">
        <v>27</v>
      </c>
      <c r="O19" s="37" t="s">
        <v>56</v>
      </c>
      <c r="Q19" s="37" t="s">
        <v>57</v>
      </c>
      <c r="R19" s="37" t="s">
        <v>58</v>
      </c>
      <c r="W19" s="37" t="s">
        <v>29</v>
      </c>
      <c r="AB19" s="10"/>
    </row>
    <row r="20" customFormat="false" ht="15.75" hidden="false" customHeight="false" outlineLevel="0" collapsed="false">
      <c r="A20" s="0" t="s">
        <v>30</v>
      </c>
      <c r="B20" s="38" t="s">
        <v>32</v>
      </c>
      <c r="C20" s="39" t="s">
        <v>33</v>
      </c>
      <c r="D20" s="40" t="s">
        <v>34</v>
      </c>
      <c r="E20" s="40" t="s">
        <v>33</v>
      </c>
      <c r="F20" s="40" t="s">
        <v>35</v>
      </c>
      <c r="G20" s="67" t="s">
        <v>59</v>
      </c>
      <c r="L20" s="10"/>
      <c r="M20" s="41" t="s">
        <v>36</v>
      </c>
      <c r="N20" s="39" t="s">
        <v>60</v>
      </c>
      <c r="O20" s="40" t="s">
        <v>34</v>
      </c>
      <c r="P20" s="40" t="s">
        <v>33</v>
      </c>
      <c r="Q20" s="68" t="s">
        <v>61</v>
      </c>
      <c r="R20" s="40" t="s">
        <v>59</v>
      </c>
      <c r="S20" s="40" t="s">
        <v>35</v>
      </c>
      <c r="U20" s="67"/>
      <c r="V20" s="67"/>
      <c r="AB20" s="10"/>
      <c r="AC20" s="69"/>
      <c r="AD20" s="69"/>
    </row>
    <row r="21" customFormat="false" ht="15" hidden="false" customHeight="false" outlineLevel="0" collapsed="false">
      <c r="A21" s="0" t="n">
        <f aca="false">Q21/C21</f>
        <v>0</v>
      </c>
      <c r="B21" s="70" t="n">
        <v>1</v>
      </c>
      <c r="C21" s="71" t="n">
        <v>5.12710479836481</v>
      </c>
      <c r="D21" s="45" t="n">
        <f aca="false">(C21-AVERAGE(C$21:C$57))^2</f>
        <v>4.31990658629041</v>
      </c>
      <c r="E21" s="46" t="n">
        <f aca="false">IF(B21&lt;$C$10,$C$11,LOG((10^$C$13)/(1+((10^$C$13/10^$C$11)-1)*EXP(-$C$12*(B21-$C$10)))))</f>
        <v>5.20027140890088</v>
      </c>
      <c r="F21" s="28" t="n">
        <f aca="false">(Q21-G21)^2</f>
        <v>0</v>
      </c>
      <c r="G21" s="0" t="n">
        <f aca="false">IF(B21&lt;$C$15,$C$16,$C$14*(LOG((10^$C$13)/(1+((10^$C$13/10^$C$11)-1)*EXP(-$C$12*(B21-$C$15))))-$C$11))</f>
        <v>0</v>
      </c>
      <c r="L21" s="10"/>
      <c r="M21" s="70" t="n">
        <v>1</v>
      </c>
      <c r="N21" s="44" t="n">
        <v>5.16</v>
      </c>
      <c r="O21" s="45" t="n">
        <f aca="false">(N21-AVERAGE(N$21:N$57))^2</f>
        <v>4.74876736111111</v>
      </c>
      <c r="P21" s="46" t="n">
        <f aca="false">IF(M21&lt;N$10,N$11,LOG((10^N$13)/(1+((10^N$13/10^N$11)-1)*EXP(-N$12*(M21-N$10)))))</f>
        <v>5.36501567425019</v>
      </c>
      <c r="Q21" s="72" t="n">
        <v>0</v>
      </c>
      <c r="R21" s="73" t="n">
        <f aca="false">IF(M21&lt;$N$15,$N$16,$N$14*(LOG((10^$N$13)/(1+((10^$N$13/10^$N$11)-1)*EXP(-$N$12*(M21-$N$15))))-$N$11))</f>
        <v>0</v>
      </c>
      <c r="S21" s="28" t="n">
        <f aca="false">(Q21-R21)^2</f>
        <v>0</v>
      </c>
      <c r="U21" s="73"/>
      <c r="V21" s="73"/>
      <c r="AB21" s="10"/>
      <c r="AC21" s="69"/>
    </row>
    <row r="22" customFormat="false" ht="15" hidden="false" customHeight="false" outlineLevel="0" collapsed="false">
      <c r="A22" s="0" t="n">
        <f aca="false">Q22/C22</f>
        <v>0</v>
      </c>
      <c r="B22" s="43" t="n">
        <v>3.25</v>
      </c>
      <c r="C22" s="48" t="n">
        <v>5.62940959910272</v>
      </c>
      <c r="D22" s="45" t="n">
        <f aca="false">(C22-AVERAGE(C$21:C$57))^2</f>
        <v>2.48419742885587</v>
      </c>
      <c r="E22" s="46" t="n">
        <f aca="false">IF(B22&lt;$C$10,$C$11,LOG((10^$C$13)/(1+((10^$C$13/10^$C$11)-1)*EXP(-$C$12*(B22-$C$10)))))</f>
        <v>5.55533924725384</v>
      </c>
      <c r="F22" s="28" t="n">
        <f aca="false">(Q22-G22)^2</f>
        <v>0</v>
      </c>
      <c r="G22" s="0" t="n">
        <f aca="false">IF(B22&lt;$C$15,$C$16,$C$14*(LOG((10^$C$13)/(1+((10^$C$13/10^$C$11)-1)*EXP(-$C$12*(B22-$C$15))))-$C$11))</f>
        <v>0</v>
      </c>
      <c r="L22" s="10"/>
      <c r="M22" s="43" t="n">
        <v>3.25</v>
      </c>
      <c r="N22" s="44" t="n">
        <v>5.45</v>
      </c>
      <c r="O22" s="45" t="n">
        <f aca="false">(N22-AVERAGE(N$21:N$57))^2</f>
        <v>3.56895069444444</v>
      </c>
      <c r="P22" s="46" t="n">
        <f aca="false">IF(M22&lt;N$10,N$11,LOG((10^N$13)/(1+((10^N$13/10^N$11)-1)*EXP(-N$12*(M22-N$10)))))</f>
        <v>5.71342112871215</v>
      </c>
      <c r="Q22" s="72" t="n">
        <v>0</v>
      </c>
      <c r="R22" s="74" t="n">
        <f aca="false">IF(M22&lt;$N$15,$N$16,$N$14*(LOG((10^$N$13)/(1+((10^$N$13/10^$N$11)-1)*EXP(-$N$12*(M22-$N$15))))-$N$11))</f>
        <v>0</v>
      </c>
      <c r="S22" s="28" t="n">
        <f aca="false">(Q22-R22)^2</f>
        <v>0</v>
      </c>
      <c r="AB22" s="10"/>
      <c r="AC22" s="69"/>
    </row>
    <row r="23" customFormat="false" ht="15" hidden="false" customHeight="false" outlineLevel="0" collapsed="false">
      <c r="A23" s="0" t="n">
        <f aca="false">Q23/C23</f>
        <v>0</v>
      </c>
      <c r="B23" s="43" t="n">
        <v>6.00000000005821</v>
      </c>
      <c r="C23" s="48" t="n">
        <v>5.95424250943933</v>
      </c>
      <c r="D23" s="45" t="n">
        <f aca="false">(C23-AVERAGE(C$21:C$57))^2</f>
        <v>1.56575365714598</v>
      </c>
      <c r="E23" s="46" t="n">
        <f aca="false">IF(B23&lt;$C$10,$C$11,LOG((10^$C$13)/(1+((10^$C$13/10^$C$11)-1)*EXP(-$C$12*(B23-$C$10)))))</f>
        <v>5.98792141344128</v>
      </c>
      <c r="F23" s="28" t="n">
        <f aca="false">(Q23-G23)^2</f>
        <v>0</v>
      </c>
      <c r="G23" s="0" t="n">
        <f aca="false">IF(B23&lt;$C$15,$C$16,$C$14*(LOG((10^$C$13)/(1+((10^$C$13/10^$C$11)-1)*EXP(-$C$12*(B23-$C$15))))-$C$11))</f>
        <v>0</v>
      </c>
      <c r="L23" s="10"/>
      <c r="M23" s="43" t="n">
        <v>6.00000000005821</v>
      </c>
      <c r="N23" s="44" t="n">
        <v>6.06</v>
      </c>
      <c r="O23" s="45" t="n">
        <f aca="false">(N23-AVERAGE(N$21:N$57))^2</f>
        <v>1.63626736111111</v>
      </c>
      <c r="P23" s="46" t="n">
        <f aca="false">IF(M23&lt;N$10,N$11,LOG((10^N$13)/(1+((10^N$13/10^N$11)-1)*EXP(-N$12*(M23-N$10)))))</f>
        <v>6.1381412990105</v>
      </c>
      <c r="Q23" s="72" t="n">
        <v>0</v>
      </c>
      <c r="R23" s="74" t="n">
        <f aca="false">IF(M23&lt;$N$15,$N$16,$N$14*(LOG((10^$N$13)/(1+((10^$N$13/10^$N$11)-1)*EXP(-$N$12*(M23-$N$15))))-$N$11))</f>
        <v>0</v>
      </c>
      <c r="S23" s="28" t="n">
        <f aca="false">(Q23-R23)^2</f>
        <v>0</v>
      </c>
      <c r="AB23" s="10"/>
      <c r="AC23" s="69"/>
    </row>
    <row r="24" customFormat="false" ht="15" hidden="false" customHeight="false" outlineLevel="0" collapsed="false">
      <c r="A24" s="0" t="n">
        <f aca="false">Q24/C24</f>
        <v>0</v>
      </c>
      <c r="B24" s="43" t="n">
        <v>9.00000000005821</v>
      </c>
      <c r="C24" s="48" t="n">
        <v>6.52374646681157</v>
      </c>
      <c r="D24" s="45" t="n">
        <f aca="false">(C24-AVERAGE(C$21:C$57))^2</f>
        <v>0.464846915582319</v>
      </c>
      <c r="E24" s="46" t="n">
        <f aca="false">IF(B24&lt;$C$10,$C$11,LOG((10^$C$13)/(1+((10^$C$13/10^$C$11)-1)*EXP(-$C$12*(B24-$C$10)))))</f>
        <v>6.45519319125769</v>
      </c>
      <c r="F24" s="28" t="n">
        <f aca="false">(Q24-G24)^2</f>
        <v>0</v>
      </c>
      <c r="G24" s="0" t="n">
        <f aca="false">IF(B24&lt;$C$15,$C$16,$C$14*(LOG((10^$C$13)/(1+((10^$C$13/10^$C$11)-1)*EXP(-$C$12*(B24-$C$15))))-$C$11))</f>
        <v>0</v>
      </c>
      <c r="L24" s="10"/>
      <c r="M24" s="43" t="n">
        <v>9.00000000005821</v>
      </c>
      <c r="N24" s="44" t="n">
        <v>6.47</v>
      </c>
      <c r="O24" s="45" t="n">
        <f aca="false">(N24-AVERAGE(N$21:N$57))^2</f>
        <v>0.755450694444444</v>
      </c>
      <c r="P24" s="46" t="n">
        <f aca="false">IF(M24&lt;N$10,N$11,LOG((10^N$13)/(1+((10^N$13/10^N$11)-1)*EXP(-N$12*(M24-N$10)))))</f>
        <v>6.59783387424796</v>
      </c>
      <c r="Q24" s="72" t="n">
        <v>0</v>
      </c>
      <c r="R24" s="74" t="n">
        <f aca="false">IF(M24&lt;$N$15,$N$16,$N$14*(LOG((10^$N$13)/(1+((10^$N$13/10^$N$11)-1)*EXP(-$N$12*(M24-$N$15))))-$N$11))</f>
        <v>0</v>
      </c>
      <c r="S24" s="28" t="n">
        <f aca="false">(Q24-R24)^2</f>
        <v>0</v>
      </c>
      <c r="AB24" s="10"/>
      <c r="AC24" s="69"/>
      <c r="AD24" s="69"/>
    </row>
    <row r="25" customFormat="false" ht="15" hidden="false" customHeight="false" outlineLevel="0" collapsed="false">
      <c r="A25" s="0" t="n">
        <f aca="false">Q25/C25</f>
        <v>0</v>
      </c>
      <c r="B25" s="43" t="n">
        <v>12.0000000000582</v>
      </c>
      <c r="C25" s="48" t="n">
        <v>6.88081359228079</v>
      </c>
      <c r="D25" s="45" t="n">
        <f aca="false">(C25-AVERAGE(C$21:C$57))^2</f>
        <v>0.105449380139838</v>
      </c>
      <c r="E25" s="46" t="n">
        <f aca="false">IF(B25&lt;$C$10,$C$11,LOG((10^$C$13)/(1+((10^$C$13/10^$C$11)-1)*EXP(-$C$12*(B25-$C$10)))))</f>
        <v>6.90896041887477</v>
      </c>
      <c r="F25" s="28" t="n">
        <f aca="false">(Q25-G25)^2</f>
        <v>0</v>
      </c>
      <c r="G25" s="0" t="n">
        <f aca="false">IF(B25&lt;$C$15,$C$16,$C$14*(LOG((10^$C$13)/(1+((10^$C$13/10^$C$11)-1)*EXP(-$C$12*(B25-$C$15))))-$C$11))</f>
        <v>0</v>
      </c>
      <c r="L25" s="10"/>
      <c r="M25" s="43" t="n">
        <v>12.0000000000582</v>
      </c>
      <c r="N25" s="44" t="n">
        <v>6.87</v>
      </c>
      <c r="O25" s="45" t="n">
        <f aca="false">(N25-AVERAGE(N$21:N$57))^2</f>
        <v>0.220117361111111</v>
      </c>
      <c r="P25" s="46" t="n">
        <f aca="false">IF(M25&lt;N$10,N$11,LOG((10^N$13)/(1+((10^N$13/10^N$11)-1)*EXP(-N$12*(M25-N$10)))))</f>
        <v>7.04704820945438</v>
      </c>
      <c r="Q25" s="72" t="n">
        <v>0</v>
      </c>
      <c r="R25" s="74" t="n">
        <f aca="false">IF(M25&lt;$N$15,$N$16,$N$14*(LOG((10^$N$13)/(1+((10^$N$13/10^$N$11)-1)*EXP(-$N$12*(M25-$N$15))))-$N$11))</f>
        <v>0</v>
      </c>
      <c r="S25" s="28" t="n">
        <f aca="false">(Q25-R25)^2</f>
        <v>0</v>
      </c>
      <c r="AB25" s="10"/>
      <c r="AC25" s="69"/>
      <c r="AD25" s="69"/>
    </row>
    <row r="26" customFormat="false" ht="15" hidden="false" customHeight="false" outlineLevel="0" collapsed="false">
      <c r="A26" s="0" t="e">
        <f aca="false">#REF!/C26</f>
        <v>#REF!</v>
      </c>
      <c r="B26" s="43" t="n">
        <v>24.4166666666861</v>
      </c>
      <c r="C26" s="48" t="n">
        <v>8.11394335230684</v>
      </c>
      <c r="D26" s="45" t="n">
        <f aca="false">(C26-AVERAGE(C$21:C$57))^2</f>
        <v>0.825190663243023</v>
      </c>
      <c r="E26" s="46" t="n">
        <f aca="false">IF(B26&lt;$C$10,$C$11,LOG((10^$C$13)/(1+((10^$C$13/10^$C$11)-1)*EXP(-$C$12*(B26-$C$10)))))</f>
        <v>8.00576856091372</v>
      </c>
      <c r="F26" s="28" t="e">
        <f aca="false">(#REF!-G26)^2</f>
        <v>#REF!</v>
      </c>
      <c r="G26" s="0" t="n">
        <f aca="false">IF(B26&lt;$C$15,$C$16,$C$14*(LOG((10^$C$13)/(1+((10^$C$13/10^$C$11)-1)*EXP(-$C$12*(B26-$C$15))))-$C$11))</f>
        <v>1.60968058417157</v>
      </c>
      <c r="L26" s="10"/>
      <c r="M26" s="43" t="n">
        <v>24.4166666666861</v>
      </c>
      <c r="N26" s="44" t="n">
        <v>8.23</v>
      </c>
      <c r="O26" s="45" t="n">
        <f aca="false">(N26-AVERAGE(N$21:N$57))^2</f>
        <v>0.793584027777779</v>
      </c>
      <c r="P26" s="46" t="n">
        <f aca="false">IF(M26&lt;N$10,N$11,LOG((10^N$13)/(1+((10^N$13/10^N$11)-1)*EXP(-N$12*(M26-N$10)))))</f>
        <v>8.22281854040298</v>
      </c>
      <c r="Q26" s="72" t="n">
        <v>1.219621766</v>
      </c>
      <c r="R26" s="0" t="n">
        <f aca="false">IF(M26&lt;$N$15,$N$16,$N$14*(LOG((10^$N$13)/(1+((10^$N$13/10^$N$11)-1)*EXP(-$N$12*(M26-$N$15))))-$N$11))</f>
        <v>1.17842829023838</v>
      </c>
      <c r="S26" s="28" t="n">
        <f aca="false">(Q26-R26)^2</f>
        <v>0.00169690244532357</v>
      </c>
      <c r="AB26" s="10"/>
      <c r="AC26" s="69"/>
    </row>
    <row r="27" customFormat="false" ht="15" hidden="false" customHeight="false" outlineLevel="0" collapsed="false">
      <c r="A27" s="0" t="e">
        <f aca="false">#REF!/C27</f>
        <v>#REF!</v>
      </c>
      <c r="B27" s="43" t="n">
        <v>27.25</v>
      </c>
      <c r="C27" s="48" t="n">
        <v>7.57978359661681</v>
      </c>
      <c r="D27" s="45" t="n">
        <f aca="false">(C27-AVERAGE(C$21:C$57))^2</f>
        <v>0.14005580299498</v>
      </c>
      <c r="E27" s="46" t="n">
        <f aca="false">IF(B27&lt;$C$10,$C$11,LOG((10^$C$13)/(1+((10^$C$13/10^$C$11)-1)*EXP(-$C$12*(B27-$C$10)))))</f>
        <v>8.04261812058601</v>
      </c>
      <c r="F27" s="28" t="e">
        <f aca="false">(#REF!-G27)^2</f>
        <v>#REF!</v>
      </c>
      <c r="G27" s="0" t="n">
        <f aca="false">IF(B27&lt;$C$15,$C$16,$C$14*(LOG((10^$C$13)/(1+((10^$C$13/10^$C$11)-1)*EXP(-$C$12*(B27-$C$15))))-$C$11))</f>
        <v>2.22671660021111</v>
      </c>
      <c r="L27" s="10"/>
      <c r="M27" s="43" t="n">
        <v>27.25</v>
      </c>
      <c r="N27" s="44" t="n">
        <v>8.31</v>
      </c>
      <c r="O27" s="45" t="n">
        <f aca="false">(N27-AVERAGE(N$21:N$57))^2</f>
        <v>0.942517361111113</v>
      </c>
      <c r="P27" s="46" t="n">
        <f aca="false">IF(M27&lt;N$10,N$11,LOG((10^N$13)/(1+((10^N$13/10^N$11)-1)*EXP(-N$12*(M27-N$10)))))</f>
        <v>8.2718825533085</v>
      </c>
      <c r="Q27" s="72" t="n">
        <v>2.068081821</v>
      </c>
      <c r="R27" s="0" t="n">
        <f aca="false">IF(M27&lt;$N$15,$N$16,$N$14*(LOG((10^$N$13)/(1+((10^$N$13/10^$N$11)-1)*EXP(-$N$12*(M27-$N$15))))-$N$11))</f>
        <v>1.86280713929268</v>
      </c>
      <c r="S27" s="28" t="n">
        <f aca="false">(Q27-R27)^2</f>
        <v>0.0421376949500425</v>
      </c>
      <c r="AB27" s="10"/>
      <c r="AC27" s="69"/>
    </row>
    <row r="28" customFormat="false" ht="15" hidden="false" customHeight="false" outlineLevel="0" collapsed="false">
      <c r="A28" s="0" t="e">
        <f aca="false">#REF!/C28</f>
        <v>#REF!</v>
      </c>
      <c r="B28" s="43" t="n">
        <v>30.0000000000582</v>
      </c>
      <c r="C28" s="48" t="n">
        <v>8.09342168516224</v>
      </c>
      <c r="D28" s="45" t="n">
        <f aca="false">(C28-AVERAGE(C$21:C$57))^2</f>
        <v>0.788328034864742</v>
      </c>
      <c r="E28" s="46" t="n">
        <f aca="false">IF(B28&lt;$C$10,$C$11,LOG((10^$C$13)/(1+((10^$C$13/10^$C$11)-1)*EXP(-$C$12*(B28-$C$10)))))</f>
        <v>8.05630386861232</v>
      </c>
      <c r="F28" s="28" t="e">
        <f aca="false">(#REF!-G28)^2</f>
        <v>#REF!</v>
      </c>
      <c r="G28" s="0" t="n">
        <f aca="false">IF(B28&lt;$C$15,$C$16,$C$14*(LOG((10^$C$13)/(1+((10^$C$13/10^$C$11)-1)*EXP(-$C$12*(B28-$C$15))))-$C$11))</f>
        <v>2.79431303244187</v>
      </c>
      <c r="L28" s="10"/>
      <c r="M28" s="43" t="n">
        <v>30.0000000000582</v>
      </c>
      <c r="N28" s="44" t="n">
        <v>8.28</v>
      </c>
      <c r="O28" s="45" t="n">
        <f aca="false">(N28-AVERAGE(N$21:N$57))^2</f>
        <v>0.88516736111111</v>
      </c>
      <c r="P28" s="46" t="n">
        <f aca="false">IF(M28&lt;N$10,N$11,LOG((10^N$13)/(1+((10^N$13/10^N$11)-1)*EXP(-N$12*(M28-N$10)))))</f>
        <v>8.29084539409426</v>
      </c>
      <c r="Q28" s="72" t="n">
        <v>2.830194172</v>
      </c>
      <c r="R28" s="0" t="n">
        <f aca="false">IF(M28&lt;$N$15,$N$16,$N$14*(LOG((10^$N$13)/(1+((10^$N$13/10^$N$11)-1)*EXP(-$N$12*(M28-$N$15))))-$N$11))</f>
        <v>2.51830678551652</v>
      </c>
      <c r="S28" s="28" t="n">
        <f aca="false">(Q28-R28)^2</f>
        <v>0.0972737418474942</v>
      </c>
      <c r="AB28" s="10"/>
      <c r="AC28" s="69"/>
    </row>
    <row r="29" customFormat="false" ht="15" hidden="false" customHeight="false" outlineLevel="0" collapsed="false">
      <c r="A29" s="0" t="n">
        <f aca="false">Q26/C29</f>
        <v>0.150692971828707</v>
      </c>
      <c r="B29" s="43" t="n">
        <v>33.0000000000582</v>
      </c>
      <c r="C29" s="48" t="n">
        <v>8.09342168516224</v>
      </c>
      <c r="D29" s="45" t="n">
        <f aca="false">(C29-AVERAGE(C$21:C$57))^2</f>
        <v>0.788328034864742</v>
      </c>
      <c r="E29" s="46" t="n">
        <f aca="false">IF(B29&lt;$C$10,$C$11,LOG((10^$C$13)/(1+((10^$C$13/10^$C$11)-1)*EXP(-$C$12*(B29-$C$10)))))</f>
        <v>8.06170323478475</v>
      </c>
      <c r="F29" s="28" t="n">
        <f aca="false">(Q26-G29)^2</f>
        <v>4.46389468209876</v>
      </c>
      <c r="G29" s="0" t="n">
        <f aca="false">IF(B29&lt;$C$15,$C$16,$C$14*(LOG((10^$C$13)/(1+((10^$C$13/10^$C$11)-1)*EXP(-$C$12*(B29-$C$15))))-$C$11))</f>
        <v>3.33241486569026</v>
      </c>
      <c r="L29" s="10"/>
      <c r="M29" s="43" t="n">
        <v>33.0000000000582</v>
      </c>
      <c r="N29" s="44" t="n">
        <v>8.36</v>
      </c>
      <c r="O29" s="45" t="n">
        <f aca="false">(N29-AVERAGE(N$21:N$57))^2</f>
        <v>1.04210069444444</v>
      </c>
      <c r="P29" s="46" t="n">
        <f aca="false">IF(M29&lt;N$10,N$11,LOG((10^N$13)/(1+((10^N$13/10^N$11)-1)*EXP(-N$12*(M29-N$10)))))</f>
        <v>8.29854268415884</v>
      </c>
      <c r="Q29" s="72" t="n">
        <v>2.875245148</v>
      </c>
      <c r="R29" s="0" t="n">
        <f aca="false">IF(M29&lt;$N$15,$N$16,$N$14*(LOG((10^$N$13)/(1+((10^$N$13/10^$N$11)-1)*EXP(-$N$12*(M29-$N$15))))-$N$11))</f>
        <v>3.20740684809518</v>
      </c>
      <c r="S29" s="28" t="n">
        <f aca="false">(Q29-R29)^2</f>
        <v>0.110331395010119</v>
      </c>
      <c r="AB29" s="10"/>
      <c r="AC29" s="69"/>
      <c r="AD29" s="69"/>
    </row>
    <row r="30" customFormat="false" ht="15" hidden="false" customHeight="false" outlineLevel="0" collapsed="false">
      <c r="A30" s="0" t="n">
        <f aca="false">Q27/C30</f>
        <v>0.255307063977033</v>
      </c>
      <c r="B30" s="43" t="n">
        <v>35.8333333333721</v>
      </c>
      <c r="C30" s="48" t="n">
        <v>8.10037054511756</v>
      </c>
      <c r="D30" s="45" t="n">
        <f aca="false">(C30-AVERAGE(C$21:C$57))^2</f>
        <v>0.800715806693948</v>
      </c>
      <c r="E30" s="46" t="n">
        <f aca="false">IF(B30&lt;$C$10,$C$11,LOG((10^$C$13)/(1+((10^$C$13/10^$C$11)-1)*EXP(-$C$12*(B30-$C$10)))))</f>
        <v>8.06347157820443</v>
      </c>
      <c r="F30" s="28" t="n">
        <f aca="false">(Q27-G30)^2</f>
        <v>2.67402381923715</v>
      </c>
      <c r="G30" s="0" t="n">
        <f aca="false">IF(B30&lt;$C$15,$C$16,$C$14*(LOG((10^$C$13)/(1+((10^$C$13/10^$C$11)-1)*EXP(-$C$12*(B30-$C$15))))-$C$11))</f>
        <v>3.70332608998159</v>
      </c>
      <c r="L30" s="10"/>
      <c r="M30" s="43" t="n">
        <v>35.8333333333721</v>
      </c>
      <c r="N30" s="44" t="n">
        <v>8.41</v>
      </c>
      <c r="O30" s="45" t="n">
        <f aca="false">(N30-AVERAGE(N$21:N$57))^2</f>
        <v>1.14668402777778</v>
      </c>
      <c r="P30" s="46" t="n">
        <f aca="false">IF(M30&lt;N$10,N$11,LOG((10^N$13)/(1+((10^N$13/10^N$11)-1)*EXP(-N$12*(M30-N$10)))))</f>
        <v>8.3011250410884</v>
      </c>
      <c r="Q30" s="72" t="n">
        <v>3.509713065</v>
      </c>
      <c r="R30" s="0" t="n">
        <f aca="false">IF(M30&lt;$N$15,$N$16,$N$14*(LOG((10^$N$13)/(1+((10^$N$13/10^$N$11)-1)*EXP(-$N$12*(M30-$N$15))))-$N$11))</f>
        <v>3.79811770065977</v>
      </c>
      <c r="S30" s="28" t="n">
        <f aca="false">(Q30-R30)^2</f>
        <v>0.083177233870047</v>
      </c>
      <c r="AB30" s="10"/>
      <c r="AC30" s="69"/>
      <c r="AD30" s="69"/>
    </row>
    <row r="31" customFormat="false" ht="15" hidden="false" customHeight="false" outlineLevel="0" collapsed="false">
      <c r="A31" s="0" t="n">
        <f aca="false">Q28/C31</f>
        <v>0.346401898811535</v>
      </c>
      <c r="B31" s="43" t="n">
        <v>48.5000000001164</v>
      </c>
      <c r="C31" s="48" t="n">
        <v>8.17026171539496</v>
      </c>
      <c r="D31" s="45" t="n">
        <f aca="false">(C31-AVERAGE(C$21:C$57))^2</f>
        <v>0.930681629723236</v>
      </c>
      <c r="E31" s="46" t="n">
        <f aca="false">IF(B31&lt;$C$10,$C$11,LOG((10^$C$13)/(1+((10^$C$13/10^$C$11)-1)*EXP(-$C$12*(B31-$C$10)))))</f>
        <v>8.06444413088548</v>
      </c>
      <c r="F31" s="28" t="n">
        <f aca="false">(Q28-G31)^2</f>
        <v>1.54709766389631</v>
      </c>
      <c r="G31" s="0" t="n">
        <f aca="false">IF(B31&lt;$C$15,$C$16,$C$14*(LOG((10^$C$13)/(1+((10^$C$13/10^$C$11)-1)*EXP(-$C$12*(B31-$C$15))))-$C$11))</f>
        <v>4.07401797941659</v>
      </c>
      <c r="L31" s="10"/>
      <c r="M31" s="43" t="n">
        <v>48.5000000001164</v>
      </c>
      <c r="N31" s="44" t="n">
        <v>8.26</v>
      </c>
      <c r="O31" s="45" t="n">
        <f aca="false">(N31-AVERAGE(N$21:N$57))^2</f>
        <v>0.847934027777778</v>
      </c>
      <c r="P31" s="46" t="n">
        <f aca="false">IF(M31&lt;N$10,N$11,LOG((10^N$13)/(1+((10^N$13/10^N$11)-1)*EXP(-N$12*(M31-N$10)))))</f>
        <v>8.30259054704714</v>
      </c>
      <c r="Q31" s="72" t="n">
        <v>4.313122144</v>
      </c>
      <c r="R31" s="0" t="n">
        <f aca="false">IF(M31&lt;$N$15,$N$16,$N$14*(LOG((10^$N$13)/(1+((10^$N$13/10^$N$11)-1)*EXP(-$N$12*(M31-$N$15))))-$N$11))</f>
        <v>4.82678329623604</v>
      </c>
      <c r="S31" s="28" t="n">
        <f aca="false">(Q31-R31)^2</f>
        <v>0.263847779316453</v>
      </c>
      <c r="AB31" s="10"/>
      <c r="AC31" s="69"/>
      <c r="AD31" s="69"/>
    </row>
    <row r="32" customFormat="false" ht="15" hidden="false" customHeight="false" outlineLevel="0" collapsed="false">
      <c r="A32" s="0" t="n">
        <f aca="false">Q29/C32</f>
        <v>0.350639652195122</v>
      </c>
      <c r="B32" s="43" t="n">
        <v>54.0000000000582</v>
      </c>
      <c r="C32" s="48" t="n">
        <v>8.2</v>
      </c>
      <c r="D32" s="45" t="n">
        <f aca="false">(C32-AVERAGE(C$21:C$57))^2</f>
        <v>0.988944137164802</v>
      </c>
      <c r="E32" s="46" t="n">
        <f aca="false">IF(B32&lt;$C$10,$C$11,LOG((10^$C$13)/(1+((10^$C$13/10^$C$11)-1)*EXP(-$C$12*(B32-$C$10)))))</f>
        <v>8.0644525765368</v>
      </c>
      <c r="F32" s="28" t="n">
        <f aca="false">(Q29-G32)^2</f>
        <v>1.44767827331667</v>
      </c>
      <c r="G32" s="0" t="n">
        <f aca="false">IF(B32&lt;$C$15,$C$16,$C$14*(LOG((10^$C$13)/(1+((10^$C$13/10^$C$11)-1)*EXP(-$C$12*(B32-$C$15))))-$C$11))</f>
        <v>4.07844017513262</v>
      </c>
      <c r="L32" s="10"/>
      <c r="M32" s="43" t="n">
        <v>54</v>
      </c>
      <c r="N32" s="44" t="n">
        <v>8.21</v>
      </c>
      <c r="O32" s="45" t="n">
        <f aca="false">(N32-AVERAGE(N$21:N$57))^2</f>
        <v>0.758350694444446</v>
      </c>
      <c r="P32" s="46" t="n">
        <f aca="false">IF(M32&lt;N$10,N$11,LOG((10^N$13)/(1+((10^N$13/10^N$11)-1)*EXP(-N$12*(M32-N$10)))))</f>
        <v>8.30260438182698</v>
      </c>
      <c r="Q32" s="72" t="n">
        <v>5.555778243</v>
      </c>
      <c r="R32" s="73" t="n">
        <f aca="false">IF(M32&lt;$N$15,$N$16,$N$14*(LOG((10^$N$13)/(1+((10^$N$13/10^$N$11)-1)*EXP(-$N$12*(M32-$N$15))))-$N$11))</f>
        <v>4.84979800236814</v>
      </c>
      <c r="S32" s="28" t="n">
        <f aca="false">(Q32-R32)^2</f>
        <v>0.498408100162618</v>
      </c>
      <c r="AB32" s="10"/>
    </row>
    <row r="33" customFormat="false" ht="15" hidden="false" customHeight="false" outlineLevel="0" collapsed="false">
      <c r="B33" s="43"/>
      <c r="C33" s="48"/>
      <c r="D33" s="45"/>
      <c r="E33" s="46"/>
      <c r="F33" s="28"/>
      <c r="L33" s="10"/>
      <c r="M33" s="43"/>
      <c r="N33" s="48"/>
      <c r="O33" s="45"/>
      <c r="P33" s="46"/>
      <c r="Q33" s="46"/>
      <c r="R33" s="28"/>
      <c r="AB33" s="10"/>
    </row>
    <row r="34" customFormat="false" ht="15" hidden="false" customHeight="false" outlineLevel="0" collapsed="false">
      <c r="B34" s="43"/>
      <c r="C34" s="48"/>
      <c r="D34" s="45"/>
      <c r="E34" s="46"/>
      <c r="F34" s="28"/>
      <c r="L34" s="10"/>
      <c r="M34" s="43"/>
      <c r="N34" s="48"/>
      <c r="O34" s="45"/>
      <c r="P34" s="46"/>
      <c r="Q34" s="46"/>
      <c r="R34" s="28"/>
      <c r="AB34" s="10"/>
    </row>
    <row r="35" customFormat="false" ht="15" hidden="false" customHeight="false" outlineLevel="0" collapsed="false">
      <c r="B35" s="43"/>
      <c r="C35" s="48"/>
      <c r="D35" s="45"/>
      <c r="E35" s="46"/>
      <c r="F35" s="28"/>
      <c r="L35" s="10"/>
      <c r="M35" s="43"/>
      <c r="N35" s="48"/>
      <c r="O35" s="45"/>
      <c r="P35" s="46"/>
      <c r="Q35" s="46"/>
      <c r="R35" s="28"/>
      <c r="AB35" s="10"/>
    </row>
    <row r="36" customFormat="false" ht="15" hidden="false" customHeight="false" outlineLevel="0" collapsed="false">
      <c r="B36" s="43"/>
      <c r="C36" s="48"/>
      <c r="D36" s="45"/>
      <c r="E36" s="46"/>
      <c r="F36" s="28"/>
      <c r="L36" s="10"/>
      <c r="M36" s="43"/>
      <c r="N36" s="48"/>
      <c r="O36" s="45"/>
      <c r="P36" s="46"/>
      <c r="Q36" s="46"/>
      <c r="R36" s="28"/>
      <c r="AB36" s="10"/>
    </row>
    <row r="37" customFormat="false" ht="15" hidden="false" customHeight="false" outlineLevel="0" collapsed="false">
      <c r="B37" s="43"/>
      <c r="C37" s="48"/>
      <c r="D37" s="45"/>
      <c r="E37" s="46"/>
      <c r="F37" s="28"/>
      <c r="L37" s="10"/>
      <c r="M37" s="43"/>
      <c r="N37" s="48"/>
      <c r="O37" s="45"/>
      <c r="P37" s="46"/>
      <c r="Q37" s="46"/>
      <c r="R37" s="28"/>
      <c r="AB37" s="10"/>
    </row>
    <row r="38" customFormat="false" ht="15" hidden="false" customHeight="false" outlineLevel="0" collapsed="false">
      <c r="B38" s="43"/>
      <c r="C38" s="48"/>
      <c r="D38" s="45"/>
      <c r="E38" s="46"/>
      <c r="F38" s="28"/>
      <c r="L38" s="10"/>
      <c r="M38" s="43"/>
      <c r="N38" s="48"/>
      <c r="O38" s="45"/>
      <c r="P38" s="46"/>
      <c r="Q38" s="46"/>
      <c r="R38" s="28"/>
      <c r="AB38" s="10"/>
    </row>
    <row r="39" customFormat="false" ht="15" hidden="false" customHeight="false" outlineLevel="0" collapsed="false">
      <c r="B39" s="43"/>
      <c r="C39" s="48"/>
      <c r="D39" s="45"/>
      <c r="E39" s="46"/>
      <c r="F39" s="28"/>
      <c r="L39" s="10"/>
      <c r="M39" s="43"/>
      <c r="N39" s="48"/>
      <c r="O39" s="45"/>
      <c r="P39" s="46"/>
      <c r="Q39" s="46"/>
      <c r="R39" s="28"/>
      <c r="AB39" s="10"/>
    </row>
    <row r="40" customFormat="false" ht="15" hidden="false" customHeight="false" outlineLevel="0" collapsed="false">
      <c r="B40" s="43"/>
      <c r="C40" s="48"/>
      <c r="D40" s="45"/>
      <c r="E40" s="46"/>
      <c r="F40" s="28"/>
      <c r="L40" s="10"/>
      <c r="M40" s="43"/>
      <c r="N40" s="48"/>
      <c r="O40" s="45"/>
      <c r="P40" s="46"/>
      <c r="Q40" s="46"/>
      <c r="R40" s="28"/>
      <c r="AB40" s="10"/>
    </row>
    <row r="41" customFormat="false" ht="15" hidden="false" customHeight="false" outlineLevel="0" collapsed="false">
      <c r="B41" s="43"/>
      <c r="C41" s="48"/>
      <c r="D41" s="45"/>
      <c r="E41" s="46"/>
      <c r="F41" s="28"/>
      <c r="L41" s="10"/>
      <c r="M41" s="43"/>
      <c r="N41" s="48"/>
      <c r="O41" s="45"/>
      <c r="P41" s="46"/>
      <c r="Q41" s="46"/>
      <c r="R41" s="28"/>
      <c r="AB41" s="10"/>
    </row>
    <row r="42" customFormat="false" ht="15" hidden="false" customHeight="false" outlineLevel="0" collapsed="false">
      <c r="B42" s="43"/>
      <c r="C42" s="48"/>
      <c r="D42" s="45"/>
      <c r="E42" s="46"/>
      <c r="F42" s="28"/>
      <c r="L42" s="10"/>
      <c r="M42" s="43"/>
      <c r="N42" s="48"/>
      <c r="O42" s="45"/>
      <c r="P42" s="46"/>
      <c r="Q42" s="46"/>
      <c r="R42" s="28"/>
      <c r="AB42" s="10"/>
    </row>
    <row r="43" customFormat="false" ht="15" hidden="false" customHeight="false" outlineLevel="0" collapsed="false">
      <c r="B43" s="43"/>
      <c r="C43" s="48"/>
      <c r="D43" s="45"/>
      <c r="E43" s="46"/>
      <c r="F43" s="28"/>
      <c r="L43" s="10"/>
      <c r="M43" s="43"/>
      <c r="N43" s="48"/>
      <c r="O43" s="45"/>
      <c r="P43" s="46"/>
      <c r="Q43" s="46"/>
      <c r="R43" s="28"/>
      <c r="AB43" s="10"/>
    </row>
    <row r="44" customFormat="false" ht="15" hidden="false" customHeight="false" outlineLevel="0" collapsed="false">
      <c r="B44" s="43"/>
      <c r="C44" s="48"/>
      <c r="D44" s="45"/>
      <c r="E44" s="46"/>
      <c r="F44" s="28"/>
      <c r="L44" s="10"/>
      <c r="M44" s="43"/>
      <c r="N44" s="48"/>
      <c r="O44" s="45"/>
      <c r="P44" s="46"/>
      <c r="Q44" s="46"/>
      <c r="R44" s="28"/>
      <c r="AB44" s="10"/>
    </row>
    <row r="45" customFormat="false" ht="15" hidden="false" customHeight="false" outlineLevel="0" collapsed="false">
      <c r="B45" s="43"/>
      <c r="C45" s="48"/>
      <c r="D45" s="45"/>
      <c r="E45" s="46"/>
      <c r="F45" s="28"/>
      <c r="L45" s="10"/>
      <c r="M45" s="43"/>
      <c r="N45" s="48"/>
      <c r="O45" s="45"/>
      <c r="P45" s="46"/>
      <c r="Q45" s="46"/>
      <c r="R45" s="28"/>
      <c r="AB45" s="10"/>
    </row>
    <row r="46" customFormat="false" ht="15" hidden="false" customHeight="false" outlineLevel="0" collapsed="false">
      <c r="B46" s="43"/>
      <c r="C46" s="48"/>
      <c r="D46" s="45"/>
      <c r="E46" s="46"/>
      <c r="F46" s="28"/>
      <c r="H46" s="0" t="n">
        <f aca="false">LOG(2)</f>
        <v>0.301029995663981</v>
      </c>
      <c r="L46" s="10"/>
      <c r="M46" s="43"/>
      <c r="N46" s="48"/>
      <c r="O46" s="45"/>
      <c r="P46" s="46"/>
      <c r="Q46" s="46"/>
      <c r="R46" s="28"/>
      <c r="AB46" s="10"/>
    </row>
    <row r="47" customFormat="false" ht="15" hidden="false" customHeight="false" outlineLevel="0" collapsed="false">
      <c r="B47" s="43"/>
      <c r="C47" s="48"/>
      <c r="D47" s="45"/>
      <c r="E47" s="46"/>
      <c r="F47" s="28"/>
      <c r="H47" s="0" t="n">
        <f aca="false">LN(2)</f>
        <v>0.693147180559945</v>
      </c>
      <c r="L47" s="10"/>
      <c r="M47" s="43"/>
      <c r="N47" s="48"/>
      <c r="O47" s="45"/>
      <c r="P47" s="46"/>
      <c r="Q47" s="46"/>
      <c r="R47" s="28"/>
      <c r="AB47" s="10"/>
    </row>
    <row r="48" customFormat="false" ht="15" hidden="false" customHeight="false" outlineLevel="0" collapsed="false">
      <c r="B48" s="43"/>
      <c r="C48" s="48"/>
      <c r="D48" s="45"/>
      <c r="E48" s="46"/>
      <c r="F48" s="28"/>
      <c r="L48" s="10"/>
      <c r="M48" s="43"/>
      <c r="N48" s="48"/>
      <c r="O48" s="45"/>
      <c r="P48" s="46"/>
      <c r="Q48" s="46"/>
      <c r="R48" s="28"/>
      <c r="AB48" s="10"/>
    </row>
    <row r="49" customFormat="false" ht="15" hidden="false" customHeight="false" outlineLevel="0" collapsed="false">
      <c r="B49" s="43"/>
      <c r="C49" s="48"/>
      <c r="D49" s="45"/>
      <c r="E49" s="46"/>
      <c r="F49" s="28"/>
      <c r="L49" s="10"/>
      <c r="M49" s="43"/>
      <c r="N49" s="48"/>
      <c r="O49" s="45"/>
      <c r="P49" s="46"/>
      <c r="Q49" s="46"/>
      <c r="R49" s="28"/>
      <c r="AB49" s="10"/>
    </row>
    <row r="50" customFormat="false" ht="15" hidden="false" customHeight="false" outlineLevel="0" collapsed="false">
      <c r="B50" s="43"/>
      <c r="C50" s="48"/>
      <c r="D50" s="45"/>
      <c r="E50" s="46"/>
      <c r="F50" s="28"/>
      <c r="L50" s="10"/>
      <c r="M50" s="43"/>
      <c r="N50" s="48"/>
      <c r="O50" s="45"/>
      <c r="P50" s="46"/>
      <c r="Q50" s="46"/>
      <c r="R50" s="28"/>
      <c r="AB50" s="10"/>
    </row>
    <row r="51" customFormat="false" ht="15" hidden="false" customHeight="false" outlineLevel="0" collapsed="false">
      <c r="B51" s="43"/>
      <c r="C51" s="48"/>
      <c r="D51" s="45"/>
      <c r="E51" s="46"/>
      <c r="F51" s="28"/>
      <c r="L51" s="10"/>
      <c r="M51" s="43"/>
      <c r="N51" s="48"/>
      <c r="O51" s="45"/>
      <c r="P51" s="46"/>
      <c r="Q51" s="46"/>
      <c r="R51" s="28"/>
      <c r="AB51" s="10"/>
    </row>
    <row r="52" customFormat="false" ht="15" hidden="false" customHeight="false" outlineLevel="0" collapsed="false">
      <c r="B52" s="43"/>
      <c r="C52" s="48"/>
      <c r="D52" s="45"/>
      <c r="E52" s="46"/>
      <c r="F52" s="28"/>
      <c r="L52" s="10"/>
      <c r="M52" s="43"/>
      <c r="N52" s="48"/>
      <c r="O52" s="45"/>
      <c r="P52" s="46"/>
      <c r="Q52" s="46"/>
      <c r="R52" s="28"/>
      <c r="AB52" s="10"/>
    </row>
    <row r="53" customFormat="false" ht="15" hidden="false" customHeight="false" outlineLevel="0" collapsed="false">
      <c r="B53" s="43"/>
      <c r="C53" s="48"/>
      <c r="D53" s="45"/>
      <c r="E53" s="46"/>
      <c r="F53" s="28"/>
      <c r="L53" s="10"/>
      <c r="M53" s="43"/>
      <c r="N53" s="48"/>
      <c r="O53" s="45"/>
      <c r="P53" s="46"/>
      <c r="Q53" s="46"/>
      <c r="R53" s="28"/>
      <c r="AB53" s="10"/>
    </row>
    <row r="54" customFormat="false" ht="15.75" hidden="false" customHeight="false" outlineLevel="0" collapsed="false">
      <c r="B54" s="43"/>
      <c r="C54" s="48"/>
      <c r="D54" s="45"/>
      <c r="E54" s="46"/>
      <c r="F54" s="28"/>
      <c r="L54" s="10"/>
      <c r="M54" s="43"/>
      <c r="N54" s="48"/>
      <c r="O54" s="45"/>
      <c r="P54" s="46"/>
      <c r="Q54" s="51"/>
      <c r="R54" s="28"/>
      <c r="AB54" s="10"/>
    </row>
    <row r="55" customFormat="false" ht="15" hidden="false" customHeight="false" outlineLevel="0" collapsed="false">
      <c r="B55" s="43"/>
      <c r="C55" s="48"/>
      <c r="D55" s="45"/>
      <c r="E55" s="46"/>
      <c r="F55" s="28"/>
      <c r="L55" s="10"/>
      <c r="M55" s="43"/>
      <c r="N55" s="48"/>
      <c r="O55" s="45"/>
      <c r="P55" s="46"/>
      <c r="R55" s="28"/>
      <c r="AB55" s="10"/>
    </row>
    <row r="56" customFormat="false" ht="15" hidden="false" customHeight="false" outlineLevel="0" collapsed="false">
      <c r="B56" s="43"/>
      <c r="C56" s="48"/>
      <c r="D56" s="45"/>
      <c r="E56" s="46"/>
      <c r="F56" s="28"/>
      <c r="L56" s="10"/>
      <c r="M56" s="43"/>
      <c r="N56" s="48"/>
      <c r="O56" s="45"/>
      <c r="P56" s="46"/>
      <c r="R56" s="28"/>
      <c r="AB56" s="10"/>
    </row>
    <row r="57" customFormat="false" ht="15" hidden="false" customHeight="false" outlineLevel="0" collapsed="false">
      <c r="B57" s="43"/>
      <c r="C57" s="48"/>
      <c r="D57" s="45"/>
      <c r="E57" s="46"/>
      <c r="F57" s="28"/>
      <c r="L57" s="10"/>
      <c r="M57" s="43"/>
      <c r="N57" s="48"/>
      <c r="O57" s="45"/>
      <c r="P57" s="46"/>
      <c r="R57" s="28"/>
      <c r="AB57" s="10"/>
    </row>
    <row r="58" customFormat="false" ht="15.75" hidden="false" customHeight="false" outlineLevel="0" collapsed="false">
      <c r="B58" s="49"/>
      <c r="C58" s="50" t="s">
        <v>21</v>
      </c>
      <c r="D58" s="50" t="n">
        <f aca="false">SUM(D21:D57)</f>
        <v>14.2023980775639</v>
      </c>
      <c r="E58" s="51"/>
      <c r="F58" s="51"/>
      <c r="G58" s="51"/>
      <c r="H58" s="51"/>
      <c r="I58" s="51"/>
      <c r="J58" s="51"/>
      <c r="K58" s="51"/>
      <c r="L58" s="52"/>
      <c r="M58" s="49"/>
      <c r="N58" s="53" t="s">
        <v>21</v>
      </c>
      <c r="O58" s="54" t="n">
        <f aca="false">SUM(O21:O57)</f>
        <v>17.3458916666667</v>
      </c>
      <c r="P58" s="51"/>
      <c r="R58" s="51"/>
      <c r="S58" s="51"/>
      <c r="T58" s="51"/>
      <c r="U58" s="51"/>
      <c r="V58" s="51"/>
      <c r="W58" s="51"/>
      <c r="X58" s="51"/>
      <c r="Y58" s="51"/>
      <c r="Z58" s="51"/>
      <c r="AA58" s="51"/>
      <c r="AB58" s="52"/>
    </row>
    <row r="59" customFormat="false" ht="20.25" hidden="false" customHeight="false" outlineLevel="0" collapsed="false">
      <c r="E59" s="55" t="s">
        <v>38</v>
      </c>
    </row>
    <row r="60" customFormat="false" ht="15.75" hidden="false" customHeight="false" outlineLevel="0" collapsed="false">
      <c r="J60" s="56" t="s">
        <v>39</v>
      </c>
      <c r="K60" s="57" t="e">
        <f aca="false">($H$62-$H$65)/($H$63-$H$66)/($H$65/$H$66)</f>
        <v>#REF!</v>
      </c>
    </row>
    <row r="61" customFormat="false" ht="15.75" hidden="false" customHeight="false" outlineLevel="0" collapsed="false">
      <c r="G61" s="58"/>
      <c r="H61" s="58" t="s">
        <v>40</v>
      </c>
      <c r="J61" s="58"/>
      <c r="K61" s="59"/>
    </row>
    <row r="62" customFormat="false" ht="15.75" hidden="false" customHeight="false" outlineLevel="0" collapsed="false">
      <c r="F62" s="58"/>
      <c r="G62" s="58" t="s">
        <v>41</v>
      </c>
      <c r="H62" s="60" t="n">
        <f aca="false">O11</f>
        <v>1.0968728476021</v>
      </c>
      <c r="J62" s="61" t="s">
        <v>42</v>
      </c>
      <c r="K62" s="61" t="n">
        <f aca="false">_xlfn.F.INV.RT(0.05,1,H66)</f>
        <v>6.60789097370337</v>
      </c>
    </row>
    <row r="63" customFormat="false" ht="15.75" hidden="false" customHeight="false" outlineLevel="0" collapsed="false">
      <c r="F63" s="58"/>
      <c r="G63" s="58" t="s">
        <v>43</v>
      </c>
      <c r="H63" s="62" t="n">
        <f aca="false">$X$6-$X$8</f>
        <v>9</v>
      </c>
      <c r="J63" s="61" t="s">
        <v>44</v>
      </c>
      <c r="K63" s="61" t="n">
        <f aca="false">_xlfn.F.INV.RT(0.01,1,H66)</f>
        <v>16.2581770398337</v>
      </c>
    </row>
    <row r="64" customFormat="false" ht="15.75" hidden="false" customHeight="false" outlineLevel="0" collapsed="false">
      <c r="F64" s="58"/>
      <c r="G64" s="58"/>
      <c r="H64" s="58" t="s">
        <v>45</v>
      </c>
    </row>
    <row r="65" customFormat="false" ht="26.25" hidden="false" customHeight="false" outlineLevel="0" collapsed="false">
      <c r="F65" s="58"/>
      <c r="G65" s="58" t="s">
        <v>46</v>
      </c>
      <c r="H65" s="60" t="e">
        <f aca="false">D11</f>
        <v>#REF!</v>
      </c>
      <c r="J65" s="63" t="s">
        <v>47</v>
      </c>
    </row>
    <row r="66" customFormat="false" ht="15.75" hidden="false" customHeight="false" outlineLevel="0" collapsed="false">
      <c r="G66" s="58" t="s">
        <v>48</v>
      </c>
      <c r="H66" s="62" t="n">
        <f aca="false">$G$6-$G$8</f>
        <v>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3:AA66"/>
  <sheetViews>
    <sheetView showFormulas="false" showGridLines="true" showRowColHeaders="true" showZeros="true" rightToLeft="false" tabSelected="false" showOutlineSymbols="true" defaultGridColor="true" view="normal" topLeftCell="F7" colorId="64" zoomScale="85" zoomScaleNormal="85" zoomScalePageLayoutView="100" workbookViewId="0">
      <selection pane="topLeft" activeCell="N21" activeCellId="0" sqref="N21"/>
    </sheetView>
  </sheetViews>
  <sheetFormatPr defaultColWidth="11.42578125" defaultRowHeight="15" zeroHeight="false" outlineLevelRow="0" outlineLevelCol="0"/>
  <sheetData>
    <row r="3" customFormat="false" ht="45.75" hidden="false" customHeight="false" outlineLevel="0" collapsed="false">
      <c r="C3" s="1"/>
    </row>
    <row r="4" customFormat="false" ht="15.75" hidden="false" customHeight="false" outlineLevel="0" collapsed="false">
      <c r="C4" s="2" t="s">
        <v>0</v>
      </c>
      <c r="D4" s="3"/>
      <c r="E4" s="3"/>
      <c r="F4" s="4"/>
      <c r="G4" s="4"/>
      <c r="H4" s="4"/>
      <c r="I4" s="4"/>
      <c r="J4" s="4"/>
      <c r="K4" s="4"/>
      <c r="L4" s="4"/>
      <c r="M4" s="5"/>
      <c r="N4" s="6"/>
      <c r="O4" s="4"/>
      <c r="P4" s="4"/>
      <c r="Q4" s="4"/>
      <c r="R4" s="4"/>
      <c r="S4" s="4"/>
      <c r="T4" s="4"/>
      <c r="U4" s="4"/>
      <c r="V4" s="4"/>
      <c r="W4" s="4"/>
      <c r="X4" s="4"/>
      <c r="Y4" s="5"/>
    </row>
    <row r="5" customFormat="false" ht="16.5" hidden="false" customHeight="false" outlineLevel="0" collapsed="false">
      <c r="C5" s="7" t="s">
        <v>1</v>
      </c>
      <c r="D5" s="8"/>
      <c r="E5" s="8"/>
      <c r="H5" s="9" t="s">
        <v>2</v>
      </c>
      <c r="L5" s="9" t="s">
        <v>3</v>
      </c>
      <c r="M5" s="10"/>
      <c r="N5" s="7" t="s">
        <v>4</v>
      </c>
      <c r="T5" s="8"/>
      <c r="U5" s="9" t="s">
        <v>2</v>
      </c>
      <c r="W5" s="9" t="s">
        <v>5</v>
      </c>
      <c r="Y5" s="10"/>
    </row>
    <row r="6" customFormat="false" ht="17.25" hidden="false" customHeight="false" outlineLevel="0" collapsed="false">
      <c r="C6" s="11" t="s">
        <v>6</v>
      </c>
      <c r="D6" s="12" t="s">
        <v>7</v>
      </c>
      <c r="E6" s="13"/>
      <c r="F6" s="14"/>
      <c r="G6" s="14"/>
      <c r="H6" s="15" t="n">
        <f aca="false">COUNT(G21:G36)</f>
        <v>12</v>
      </c>
      <c r="M6" s="10"/>
      <c r="N6" s="16"/>
      <c r="O6" s="12" t="s">
        <v>8</v>
      </c>
      <c r="P6" s="14"/>
      <c r="Q6" s="12"/>
      <c r="R6" s="12"/>
      <c r="S6" s="14"/>
      <c r="T6" s="8"/>
      <c r="U6" s="15" t="n">
        <f aca="false">COUNT(R21:R57)</f>
        <v>12</v>
      </c>
      <c r="Y6" s="10"/>
    </row>
    <row r="7" customFormat="false" ht="17.25" hidden="false" customHeight="false" outlineLevel="0" collapsed="false">
      <c r="C7" s="11" t="s">
        <v>9</v>
      </c>
      <c r="D7" s="12" t="s">
        <v>10</v>
      </c>
      <c r="E7" s="13"/>
      <c r="F7" s="14"/>
      <c r="G7" s="14"/>
      <c r="H7" s="9" t="s">
        <v>11</v>
      </c>
      <c r="M7" s="10"/>
      <c r="N7" s="16"/>
      <c r="U7" s="9" t="s">
        <v>11</v>
      </c>
      <c r="Y7" s="10"/>
    </row>
    <row r="8" customFormat="false" ht="15.75" hidden="false" customHeight="false" outlineLevel="0" collapsed="false">
      <c r="C8" s="16"/>
      <c r="F8" s="17"/>
      <c r="G8" s="17"/>
      <c r="H8" s="15" t="n">
        <f aca="false">COUNT(D10:D13)</f>
        <v>4</v>
      </c>
      <c r="M8" s="10"/>
      <c r="N8" s="16"/>
      <c r="U8" s="15" t="n">
        <f aca="false">COUNT(O11:O13)</f>
        <v>3</v>
      </c>
      <c r="Y8" s="10"/>
    </row>
    <row r="9" customFormat="false" ht="15.75" hidden="false" customHeight="false" outlineLevel="0" collapsed="false">
      <c r="C9" s="18" t="s">
        <v>12</v>
      </c>
      <c r="H9" s="19" t="s">
        <v>13</v>
      </c>
      <c r="M9" s="10"/>
      <c r="N9" s="18" t="s">
        <v>12</v>
      </c>
      <c r="Q9" s="8"/>
      <c r="U9" s="19" t="s">
        <v>13</v>
      </c>
      <c r="Y9" s="10"/>
    </row>
    <row r="10" customFormat="false" ht="15.75" hidden="false" customHeight="false" outlineLevel="0" collapsed="false">
      <c r="C10" s="20" t="s">
        <v>14</v>
      </c>
      <c r="D10" s="21" t="n">
        <v>0</v>
      </c>
      <c r="E10" s="22" t="s">
        <v>15</v>
      </c>
      <c r="H10" s="23" t="n">
        <f aca="false">E11/(H6-H8)</f>
        <v>0.0196785545152939</v>
      </c>
      <c r="M10" s="10"/>
      <c r="N10" s="20" t="s">
        <v>16</v>
      </c>
      <c r="O10" s="24" t="n">
        <v>0</v>
      </c>
      <c r="P10" s="22" t="s">
        <v>15</v>
      </c>
      <c r="U10" s="23" t="n">
        <f aca="false">P11/(U6-U8)</f>
        <v>0.0174920484580403</v>
      </c>
      <c r="Y10" s="10"/>
    </row>
    <row r="11" customFormat="false" ht="17.25" hidden="false" customHeight="false" outlineLevel="0" collapsed="false">
      <c r="C11" s="25" t="s">
        <v>17</v>
      </c>
      <c r="D11" s="26" t="n">
        <v>2.96590563460728</v>
      </c>
      <c r="E11" s="27" t="n">
        <f aca="false">SUM(G21:G57)</f>
        <v>0.157428436122351</v>
      </c>
      <c r="H11" s="28"/>
      <c r="M11" s="10"/>
      <c r="N11" s="25" t="s">
        <v>17</v>
      </c>
      <c r="O11" s="26" t="n">
        <v>2.96590563313427</v>
      </c>
      <c r="P11" s="27" t="n">
        <f aca="false">SUM(R21:R57)</f>
        <v>0.157428436122363</v>
      </c>
      <c r="U11" s="28"/>
      <c r="Y11" s="10"/>
    </row>
    <row r="12" customFormat="false" ht="17.25" hidden="false" customHeight="false" outlineLevel="0" collapsed="false">
      <c r="C12" s="25" t="s">
        <v>18</v>
      </c>
      <c r="D12" s="26" t="n">
        <v>0.367786863478791</v>
      </c>
      <c r="E12" s="22" t="s">
        <v>19</v>
      </c>
      <c r="H12" s="19" t="s">
        <v>20</v>
      </c>
      <c r="J12" s="9" t="s">
        <v>21</v>
      </c>
      <c r="M12" s="10"/>
      <c r="N12" s="25" t="s">
        <v>22</v>
      </c>
      <c r="O12" s="26" t="n">
        <v>0.367786863748451</v>
      </c>
      <c r="P12" s="22" t="s">
        <v>19</v>
      </c>
      <c r="U12" s="19" t="s">
        <v>20</v>
      </c>
      <c r="W12" s="9" t="s">
        <v>21</v>
      </c>
      <c r="Y12" s="10"/>
    </row>
    <row r="13" customFormat="false" ht="17.25" hidden="false" customHeight="false" outlineLevel="0" collapsed="false">
      <c r="C13" s="29" t="s">
        <v>23</v>
      </c>
      <c r="D13" s="30" t="n">
        <v>8.87522156710236</v>
      </c>
      <c r="E13" s="31" t="n">
        <f aca="false">SQRT(E11/(COUNT(G21:G57)-H8))</f>
        <v>0.140280271297478</v>
      </c>
      <c r="H13" s="23" t="n">
        <f aca="false">1-E11/J13</f>
        <v>0.997098077295868</v>
      </c>
      <c r="J13" s="23" t="n">
        <f aca="false">E58</f>
        <v>54.2497</v>
      </c>
      <c r="M13" s="10"/>
      <c r="N13" s="29" t="s">
        <v>23</v>
      </c>
      <c r="O13" s="30" t="n">
        <v>8.87522155863781</v>
      </c>
      <c r="P13" s="32" t="n">
        <f aca="false">SQRT(P11/(COUNT(R21:R57)-U8))</f>
        <v>0.132257508134852</v>
      </c>
      <c r="U13" s="23" t="n">
        <f aca="false">1-P11/W13</f>
        <v>0.997098077295868</v>
      </c>
      <c r="W13" s="23" t="n">
        <f aca="false">P58</f>
        <v>54.2497</v>
      </c>
      <c r="Y13" s="10"/>
    </row>
    <row r="14" customFormat="false" ht="15.75" hidden="false" customHeight="false" outlineLevel="0" collapsed="false">
      <c r="C14" s="16" t="s">
        <v>24</v>
      </c>
      <c r="F14" s="33"/>
      <c r="G14" s="34"/>
      <c r="H14" s="19" t="s">
        <v>25</v>
      </c>
      <c r="M14" s="10"/>
      <c r="N14" s="16"/>
      <c r="U14" s="19" t="s">
        <v>25</v>
      </c>
      <c r="Y14" s="10"/>
    </row>
    <row r="15" customFormat="false" ht="15.75" hidden="false" customHeight="false" outlineLevel="0" collapsed="false">
      <c r="C15" s="16"/>
      <c r="F15" s="33"/>
      <c r="G15" s="34"/>
      <c r="H15" s="23" t="n">
        <f aca="false">(((H6-1)*H13)-(H8+1))/(H6-H8)</f>
        <v>0.746009856281819</v>
      </c>
      <c r="M15" s="10"/>
      <c r="N15" s="16"/>
      <c r="U15" s="23" t="n">
        <f aca="false">(((U6-1)*U13)-(U8+1))/(U6-U8)</f>
        <v>0.774230983361616</v>
      </c>
      <c r="Y15" s="10"/>
    </row>
    <row r="16" customFormat="false" ht="15.75" hidden="false" customHeight="false" outlineLevel="0" collapsed="false">
      <c r="C16" s="16"/>
      <c r="F16" s="33"/>
      <c r="G16" s="34"/>
      <c r="I16" s="35" t="s">
        <v>26</v>
      </c>
      <c r="J16" s="36"/>
      <c r="M16" s="10"/>
      <c r="N16" s="16"/>
      <c r="V16" s="35" t="s">
        <v>26</v>
      </c>
      <c r="W16" s="36"/>
      <c r="Y16" s="10"/>
    </row>
    <row r="17" customFormat="false" ht="15.75" hidden="false" customHeight="false" outlineLevel="0" collapsed="false">
      <c r="C17" s="16"/>
      <c r="F17" s="33"/>
      <c r="G17" s="34"/>
      <c r="I17" s="23" t="n">
        <f aca="false">1-(1-H13)*((H6-1)/(H6-(H8-1)-1))</f>
        <v>0.996009856281819</v>
      </c>
      <c r="M17" s="10"/>
      <c r="N17" s="16"/>
      <c r="V17" s="23" t="n">
        <f aca="false">1-(1-U13)*((U6-1)/(U6-(U8-1)-1))</f>
        <v>0.996453205583838</v>
      </c>
      <c r="Y17" s="10"/>
    </row>
    <row r="18" customFormat="false" ht="15" hidden="false" customHeight="false" outlineLevel="0" collapsed="false">
      <c r="C18" s="16"/>
      <c r="F18" s="33"/>
      <c r="G18" s="34"/>
      <c r="H18" s="17"/>
      <c r="I18" s="8"/>
      <c r="M18" s="10"/>
      <c r="N18" s="16"/>
      <c r="Y18" s="10"/>
    </row>
    <row r="19" customFormat="false" ht="15" hidden="false" customHeight="false" outlineLevel="0" collapsed="false">
      <c r="C19" s="18" t="s">
        <v>27</v>
      </c>
      <c r="F19" s="37" t="s">
        <v>28</v>
      </c>
      <c r="I19" s="37" t="s">
        <v>29</v>
      </c>
      <c r="M19" s="10"/>
      <c r="N19" s="18" t="s">
        <v>27</v>
      </c>
      <c r="Q19" s="37" t="s">
        <v>28</v>
      </c>
      <c r="T19" s="37" t="s">
        <v>29</v>
      </c>
      <c r="Y19" s="10"/>
    </row>
    <row r="20" customFormat="false" ht="15" hidden="false" customHeight="false" outlineLevel="0" collapsed="false">
      <c r="A20" s="0" t="s">
        <v>30</v>
      </c>
      <c r="B20" s="0" t="s">
        <v>31</v>
      </c>
      <c r="C20" s="38" t="s">
        <v>32</v>
      </c>
      <c r="D20" s="39" t="s">
        <v>33</v>
      </c>
      <c r="E20" s="40" t="s">
        <v>34</v>
      </c>
      <c r="F20" s="40" t="s">
        <v>33</v>
      </c>
      <c r="G20" s="40" t="s">
        <v>35</v>
      </c>
      <c r="M20" s="10"/>
      <c r="N20" s="41" t="s">
        <v>36</v>
      </c>
      <c r="O20" s="39" t="s">
        <v>33</v>
      </c>
      <c r="P20" s="40" t="s">
        <v>34</v>
      </c>
      <c r="Q20" s="40" t="s">
        <v>33</v>
      </c>
      <c r="R20" s="40" t="s">
        <v>35</v>
      </c>
      <c r="Y20" s="10"/>
      <c r="Z20" s="42" t="n">
        <v>1</v>
      </c>
      <c r="AA20" s="42" t="n">
        <v>5.27875360095283</v>
      </c>
    </row>
    <row r="21" customFormat="false" ht="15" hidden="false" customHeight="false" outlineLevel="0" collapsed="false">
      <c r="A21" s="0" t="n">
        <f aca="false">B21/D21</f>
        <v>0</v>
      </c>
      <c r="B21" s="0" t="n">
        <v>0</v>
      </c>
      <c r="C21" s="43" t="n">
        <v>1</v>
      </c>
      <c r="D21" s="44" t="n">
        <v>3.2</v>
      </c>
      <c r="E21" s="45" t="n">
        <f aca="false">(D21-AVERAGE(D$21:D$53))^2</f>
        <v>9.828225</v>
      </c>
      <c r="F21" s="46" t="n">
        <f aca="false">IF(C21&lt;$D$10,$D$11,LOG((10^$D$13)/(1+((10^$D$13/10^$D$11)-1)*EXP(-$D$12*(C21-$D$10)))))</f>
        <v>3.12563320204417</v>
      </c>
      <c r="G21" s="28" t="n">
        <f aca="false">(D21-F21)^2</f>
        <v>0.00553042063820361</v>
      </c>
      <c r="M21" s="10"/>
      <c r="N21" s="43" t="n">
        <v>1</v>
      </c>
      <c r="O21" s="44" t="n">
        <v>3.2</v>
      </c>
      <c r="P21" s="45" t="n">
        <f aca="false">(O21-AVERAGE(O$21:O$57))^2</f>
        <v>9.828225</v>
      </c>
      <c r="Q21" s="46" t="n">
        <f aca="false">IF(N21&lt;O$10,O$11,LOG((10^O$13)/(1+((10^O$13/10^O$11)-1)*EXP(-O$12*(N21-O$10)))))</f>
        <v>3.12563320068827</v>
      </c>
      <c r="R21" s="28" t="n">
        <f aca="false">(O21-Q21)^2</f>
        <v>0.00553042083987186</v>
      </c>
      <c r="Y21" s="10"/>
      <c r="Z21" s="42" t="n">
        <v>3.00000000005821</v>
      </c>
      <c r="AA21" s="47"/>
    </row>
    <row r="22" customFormat="false" ht="15" hidden="false" customHeight="false" outlineLevel="0" collapsed="false">
      <c r="A22" s="0" t="n">
        <f aca="false">B22/D22</f>
        <v>0</v>
      </c>
      <c r="B22" s="0" t="n">
        <v>0</v>
      </c>
      <c r="C22" s="43" t="n">
        <v>3</v>
      </c>
      <c r="D22" s="44" t="n">
        <v>3.66</v>
      </c>
      <c r="E22" s="45" t="n">
        <f aca="false">(D22-AVERAGE(D$21:D$53))^2</f>
        <v>7.155625</v>
      </c>
      <c r="F22" s="46" t="n">
        <f aca="false">IF(C22&lt;$D$10,$D$11,LOG((10^$D$13)/(1+((10^$D$13/10^$D$11)-1)*EXP(-$D$12*(C22-$D$10)))))</f>
        <v>3.44508797266111</v>
      </c>
      <c r="G22" s="28" t="n">
        <f aca="false">(D22-F22)^2</f>
        <v>0.0461871794949131</v>
      </c>
      <c r="M22" s="10"/>
      <c r="N22" s="43" t="n">
        <v>3</v>
      </c>
      <c r="O22" s="44" t="n">
        <v>3.66</v>
      </c>
      <c r="P22" s="45" t="n">
        <f aca="false">(O22-AVERAGE(O$21:O$57))^2</f>
        <v>7.155625</v>
      </c>
      <c r="Q22" s="46" t="n">
        <f aca="false">IF(N22&lt;O$10,O$11,LOG((10^O$13)/(1+((10^O$13/10^O$11)-1)*EXP(-O$12*(N22-O$10)))))</f>
        <v>3.44508797153941</v>
      </c>
      <c r="R22" s="28" t="n">
        <f aca="false">(O22-Q22)^2</f>
        <v>0.0461871799770441</v>
      </c>
      <c r="Y22" s="10"/>
      <c r="Z22" s="42" t="n">
        <v>6.00000000005821</v>
      </c>
      <c r="AA22" s="47"/>
    </row>
    <row r="23" customFormat="false" ht="15" hidden="false" customHeight="false" outlineLevel="0" collapsed="false">
      <c r="A23" s="0" t="n">
        <f aca="false">B23/D23</f>
        <v>0</v>
      </c>
      <c r="B23" s="0" t="n">
        <v>0</v>
      </c>
      <c r="C23" s="43" t="n">
        <v>6</v>
      </c>
      <c r="D23" s="44" t="n">
        <v>3.72</v>
      </c>
      <c r="E23" s="45" t="n">
        <f aca="false">(D23-AVERAGE(D$21:D$53))^2</f>
        <v>6.838225</v>
      </c>
      <c r="F23" s="46" t="n">
        <f aca="false">IF(C23&lt;$D$10,$D$11,LOG((10^$D$13)/(1+((10^$D$13/10^$D$11)-1)*EXP(-$D$12*(C23-$D$10)))))</f>
        <v>3.92426813949531</v>
      </c>
      <c r="G23" s="28" t="n">
        <f aca="false">(D23-F23)^2</f>
        <v>0.0417254728128743</v>
      </c>
      <c r="M23" s="10"/>
      <c r="N23" s="43" t="n">
        <v>6</v>
      </c>
      <c r="O23" s="44" t="n">
        <v>3.72</v>
      </c>
      <c r="P23" s="45" t="n">
        <f aca="false">(O23-AVERAGE(O$21:O$57))^2</f>
        <v>6.838225</v>
      </c>
      <c r="Q23" s="46" t="n">
        <f aca="false">IF(N23&lt;O$10,O$11,LOG((10^O$13)/(1+((10^O$13/10^O$11)-1)*EXP(-O$12*(N23-O$10)))))</f>
        <v>3.92426813872489</v>
      </c>
      <c r="R23" s="28" t="n">
        <f aca="false">(O23-Q23)^2</f>
        <v>0.041725472498131</v>
      </c>
      <c r="Y23" s="10"/>
      <c r="Z23" s="42" t="n">
        <v>9.00000000005821</v>
      </c>
      <c r="AA23" s="47"/>
    </row>
    <row r="24" customFormat="false" ht="15" hidden="false" customHeight="false" outlineLevel="0" collapsed="false">
      <c r="A24" s="0" t="n">
        <f aca="false">B24/D24</f>
        <v>0</v>
      </c>
      <c r="B24" s="0" t="n">
        <v>0</v>
      </c>
      <c r="C24" s="43" t="n">
        <v>9</v>
      </c>
      <c r="D24" s="44" t="n">
        <v>4.37</v>
      </c>
      <c r="E24" s="45" t="n">
        <f aca="false">(D24-AVERAGE(D$21:D$53))^2</f>
        <v>3.861225</v>
      </c>
      <c r="F24" s="46" t="n">
        <f aca="false">IF(C24&lt;$D$10,$D$11,LOG((10^$D$13)/(1+((10^$D$13/10^$D$11)-1)*EXP(-$D$12*(C24-$D$10)))))</f>
        <v>4.40344176179913</v>
      </c>
      <c r="G24" s="28" t="n">
        <f aca="false">(D24-F24)^2</f>
        <v>0.00111835143222995</v>
      </c>
      <c r="M24" s="10"/>
      <c r="N24" s="43" t="n">
        <v>9</v>
      </c>
      <c r="O24" s="44" t="n">
        <v>4.37</v>
      </c>
      <c r="P24" s="45" t="n">
        <f aca="false">(O24-AVERAGE(O$21:O$57))^2</f>
        <v>3.861225</v>
      </c>
      <c r="Q24" s="46" t="n">
        <f aca="false">IF(N24&lt;O$10,O$11,LOG((10^O$13)/(1+((10^O$13/10^O$11)-1)*EXP(-O$12*(N24-O$10)))))</f>
        <v>4.40344176137987</v>
      </c>
      <c r="R24" s="28" t="n">
        <f aca="false">(O24-Q24)^2</f>
        <v>0.00111835140418781</v>
      </c>
      <c r="Y24" s="10"/>
      <c r="Z24" s="42" t="n">
        <v>12.1666666667443</v>
      </c>
      <c r="AA24" s="42" t="n">
        <v>6.94448267215017</v>
      </c>
    </row>
    <row r="25" customFormat="false" ht="15" hidden="false" customHeight="false" outlineLevel="0" collapsed="false">
      <c r="A25" s="0" t="n">
        <f aca="false">B25/D25</f>
        <v>0</v>
      </c>
      <c r="B25" s="0" t="n">
        <v>0</v>
      </c>
      <c r="C25" s="43" t="n">
        <v>12.17</v>
      </c>
      <c r="D25" s="44" t="n">
        <v>4.76</v>
      </c>
      <c r="E25" s="45" t="n">
        <f aca="false">(D25-AVERAGE(D$21:D$53))^2</f>
        <v>2.480625</v>
      </c>
      <c r="F25" s="46" t="n">
        <f aca="false">IF(C25&lt;$D$10,$D$11,LOG((10^$D$13)/(1+((10^$D$13/10^$D$11)-1)*EXP(-$D$12*(C25-$D$10)))))</f>
        <v>4.90974653512645</v>
      </c>
      <c r="G25" s="28" t="n">
        <f aca="false">(D25-F25)^2</f>
        <v>0.022424024782378</v>
      </c>
      <c r="M25" s="10"/>
      <c r="N25" s="43" t="n">
        <v>12.17</v>
      </c>
      <c r="O25" s="44" t="n">
        <v>4.76</v>
      </c>
      <c r="P25" s="45" t="n">
        <f aca="false">(O25-AVERAGE(O$21:O$57))^2</f>
        <v>2.480625</v>
      </c>
      <c r="Q25" s="46" t="n">
        <f aca="false">IF(N25&lt;O$10,O$11,LOG((10^O$13)/(1+((10^O$13/10^O$11)-1)*EXP(-O$12*(N25-O$10)))))</f>
        <v>4.90974653507779</v>
      </c>
      <c r="R25" s="28" t="n">
        <f aca="false">(O25-Q25)^2</f>
        <v>0.0224240247678034</v>
      </c>
      <c r="Y25" s="10"/>
      <c r="Z25" s="42" t="n">
        <v>24.1666666667443</v>
      </c>
      <c r="AA25" s="42"/>
    </row>
    <row r="26" customFormat="false" ht="15" hidden="false" customHeight="false" outlineLevel="0" collapsed="false">
      <c r="A26" s="0" t="e">
        <f aca="false">B26/#REF!</f>
        <v>#REF!</v>
      </c>
      <c r="B26" s="0" t="n">
        <v>2.25579422279125</v>
      </c>
      <c r="C26" s="43" t="n">
        <v>24.17</v>
      </c>
      <c r="D26" s="44" t="n">
        <v>6.82</v>
      </c>
      <c r="E26" s="45" t="n">
        <f aca="false">(D26-AVERAGE(D$21:D$53))^2</f>
        <v>0.235225</v>
      </c>
      <c r="F26" s="46" t="n">
        <f aca="false">IF(C26&lt;$D$10,$D$11,LOG((10^$D$13)/(1+((10^$D$13/10^$D$11)-1)*EXP(-$D$12*(C26-$D$10)))))</f>
        <v>6.82266216654212</v>
      </c>
      <c r="G26" s="28" t="n">
        <f aca="false">(D26-F26)^2</f>
        <v>7.08713069796207E-006</v>
      </c>
      <c r="M26" s="10"/>
      <c r="N26" s="43" t="n">
        <v>24.17</v>
      </c>
      <c r="O26" s="44" t="n">
        <v>6.82</v>
      </c>
      <c r="P26" s="45" t="n">
        <f aca="false">(O26-AVERAGE(O$21:O$57))^2</f>
        <v>0.235225</v>
      </c>
      <c r="Q26" s="46" t="n">
        <f aca="false">IF(N26&lt;O$10,O$11,LOG((10^O$13)/(1+((10^O$13/10^O$11)-1)*EXP(-O$12*(N26-O$10)))))</f>
        <v>6.82266216781268</v>
      </c>
      <c r="R26" s="28" t="n">
        <f aca="false">(O26-Q26)^2</f>
        <v>7.08713746285124E-006</v>
      </c>
      <c r="Y26" s="10"/>
      <c r="Z26" s="42" t="n">
        <v>27.0833333333139</v>
      </c>
      <c r="AA26" s="47"/>
    </row>
    <row r="27" customFormat="false" ht="15" hidden="false" customHeight="false" outlineLevel="0" collapsed="false">
      <c r="A27" s="0" t="e">
        <f aca="false">B27/#REF!</f>
        <v>#REF!</v>
      </c>
      <c r="B27" s="0" t="n">
        <v>0.311093742376794</v>
      </c>
      <c r="C27" s="43" t="n">
        <v>27.08</v>
      </c>
      <c r="D27" s="44" t="n">
        <v>7.28</v>
      </c>
      <c r="E27" s="45" t="n">
        <f aca="false">(D27-AVERAGE(D$21:D$53))^2</f>
        <v>0.893025000000001</v>
      </c>
      <c r="F27" s="46" t="n">
        <f aca="false">IF(C27&lt;$D$10,$D$11,LOG((10^$D$13)/(1+((10^$D$13/10^$D$11)-1)*EXP(-$D$12*(C27-$D$10)))))</f>
        <v>7.28015884564598</v>
      </c>
      <c r="G27" s="28" t="n">
        <f aca="false">(D27-F27)^2</f>
        <v>2.52319392478649E-008</v>
      </c>
      <c r="M27" s="10"/>
      <c r="N27" s="43" t="n">
        <v>27.08</v>
      </c>
      <c r="O27" s="44" t="n">
        <v>7.28</v>
      </c>
      <c r="P27" s="45" t="n">
        <f aca="false">(O27-AVERAGE(O$21:O$57))^2</f>
        <v>0.893025000000001</v>
      </c>
      <c r="Q27" s="46" t="n">
        <f aca="false">IF(N27&lt;O$10,O$11,LOG((10^O$13)/(1+((10^O$13/10^O$11)-1)*EXP(-O$12*(N27-O$10)))))</f>
        <v>7.28015884708616</v>
      </c>
      <c r="R27" s="28" t="n">
        <f aca="false">(O27-Q27)^2</f>
        <v>2.52323967827171E-008</v>
      </c>
      <c r="Y27" s="10"/>
      <c r="Z27" s="42" t="n">
        <v>30.0833333333139</v>
      </c>
      <c r="AA27" s="47"/>
    </row>
    <row r="28" customFormat="false" ht="15" hidden="false" customHeight="false" outlineLevel="0" collapsed="false">
      <c r="A28" s="0" t="e">
        <f aca="false">B28/#REF!</f>
        <v>#REF!</v>
      </c>
      <c r="B28" s="0" t="n">
        <v>2.3684216637419</v>
      </c>
      <c r="C28" s="43" t="n">
        <v>30.08</v>
      </c>
      <c r="D28" s="44" t="n">
        <v>7.91</v>
      </c>
      <c r="E28" s="45" t="n">
        <f aca="false">(D28-AVERAGE(D$21:D$53))^2</f>
        <v>2.480625</v>
      </c>
      <c r="F28" s="46" t="n">
        <f aca="false">IF(C28&lt;$D$10,$D$11,LOG((10^$D$13)/(1+((10^$D$13/10^$D$11)-1)*EXP(-$D$12*(C28-$D$10)))))</f>
        <v>7.73766728653769</v>
      </c>
      <c r="G28" s="28" t="n">
        <f aca="false">(D28-F28)^2</f>
        <v>0.0296985641292819</v>
      </c>
      <c r="M28" s="10"/>
      <c r="N28" s="43" t="n">
        <v>30.08</v>
      </c>
      <c r="O28" s="44" t="n">
        <v>7.91</v>
      </c>
      <c r="P28" s="45" t="n">
        <f aca="false">(O28-AVERAGE(O$21:O$57))^2</f>
        <v>2.480625</v>
      </c>
      <c r="Q28" s="46" t="n">
        <f aca="false">IF(N28&lt;O$10,O$11,LOG((10^O$13)/(1+((10^O$13/10^O$11)-1)*EXP(-O$12*(N28-O$10)))))</f>
        <v>7.73766728782142</v>
      </c>
      <c r="R28" s="28" t="n">
        <f aca="false">(O28-Q28)^2</f>
        <v>0.0296985636868268</v>
      </c>
      <c r="Y28" s="10"/>
      <c r="Z28" s="42" t="n">
        <v>33.0833333333139</v>
      </c>
      <c r="AA28" s="47"/>
    </row>
    <row r="29" customFormat="false" ht="15" hidden="false" customHeight="false" outlineLevel="0" collapsed="false">
      <c r="A29" s="0" t="e">
        <f aca="false">B29/#REF!</f>
        <v>#REF!</v>
      </c>
      <c r="B29" s="0" t="n">
        <v>3.20186472677666</v>
      </c>
      <c r="C29" s="43" t="n">
        <v>33.08</v>
      </c>
      <c r="D29" s="44" t="n">
        <v>8.16</v>
      </c>
      <c r="E29" s="45" t="n">
        <f aca="false">(D29-AVERAGE(D$21:D$53))^2</f>
        <v>3.330625</v>
      </c>
      <c r="F29" s="46" t="n">
        <f aca="false">IF(C29&lt;$D$10,$D$11,LOG((10^$D$13)/(1+((10^$D$13/10^$D$11)-1)*EXP(-$D$12*(C29-$D$10)))))</f>
        <v>8.15738359340618</v>
      </c>
      <c r="G29" s="28" t="n">
        <f aca="false">(D29-F29)^2</f>
        <v>6.84558346416449E-006</v>
      </c>
      <c r="M29" s="10"/>
      <c r="N29" s="43" t="n">
        <v>33.08</v>
      </c>
      <c r="O29" s="44" t="n">
        <v>8.16</v>
      </c>
      <c r="P29" s="45" t="n">
        <f aca="false">(O29-AVERAGE(O$21:O$57))^2</f>
        <v>3.330625</v>
      </c>
      <c r="Q29" s="46" t="n">
        <f aca="false">IF(N29&lt;O$10,O$11,LOG((10^O$13)/(1+((10^O$13/10^O$11)-1)*EXP(-O$12*(N29-O$10)))))</f>
        <v>8.1573835937265</v>
      </c>
      <c r="R29" s="28" t="n">
        <f aca="false">(O29-Q29)^2</f>
        <v>6.84558178799107E-006</v>
      </c>
      <c r="Y29" s="10"/>
      <c r="Z29" s="42" t="n">
        <v>35.8333333333721</v>
      </c>
      <c r="AA29" s="42" t="n">
        <v>8.22010808804006</v>
      </c>
    </row>
    <row r="30" customFormat="false" ht="15" hidden="false" customHeight="false" outlineLevel="0" collapsed="false">
      <c r="A30" s="0" t="e">
        <f aca="false">B30/#REF!</f>
        <v>#REF!</v>
      </c>
      <c r="B30" s="0" t="n">
        <v>3.58855227404054</v>
      </c>
      <c r="C30" s="43" t="n">
        <v>35.83</v>
      </c>
      <c r="D30" s="44" t="n">
        <v>8.37</v>
      </c>
      <c r="E30" s="45" t="n">
        <f aca="false">(D30-AVERAGE(D$21:D$53))^2</f>
        <v>4.141225</v>
      </c>
      <c r="F30" s="46" t="n">
        <f aca="false">IF(C30&lt;$D$10,$D$11,LOG((10^$D$13)/(1+((10^$D$13/10^$D$11)-1)*EXP(-$D$12*(C30-$D$10)))))</f>
        <v>8.47114686251125</v>
      </c>
      <c r="G30" s="28" t="n">
        <f aca="false">(D30-F30)^2</f>
        <v>0.0102306877958697</v>
      </c>
      <c r="M30" s="10"/>
      <c r="N30" s="43" t="n">
        <v>35.83</v>
      </c>
      <c r="O30" s="44" t="n">
        <v>8.37</v>
      </c>
      <c r="P30" s="45" t="n">
        <f aca="false">(O30-AVERAGE(O$21:O$57))^2</f>
        <v>4.141225</v>
      </c>
      <c r="Q30" s="46" t="n">
        <f aca="false">IF(N30&lt;O$10,O$11,LOG((10^O$13)/(1+((10^O$13/10^O$11)-1)*EXP(-O$12*(N30-O$10)))))</f>
        <v>8.47114686082206</v>
      </c>
      <c r="R30" s="28" t="n">
        <f aca="false">(O30-Q30)^2</f>
        <v>0.010230687454158</v>
      </c>
      <c r="Y30" s="10"/>
      <c r="Z30" s="42" t="n">
        <v>48.25</v>
      </c>
      <c r="AA30" s="42" t="n">
        <v>8.35793484700045</v>
      </c>
    </row>
    <row r="31" customFormat="false" ht="15" hidden="false" customHeight="false" outlineLevel="0" collapsed="false">
      <c r="A31" s="0" t="e">
        <f aca="false">B31/#REF!</f>
        <v>#REF!</v>
      </c>
      <c r="B31" s="0" t="n">
        <v>3.86261238035378</v>
      </c>
      <c r="C31" s="43" t="n">
        <v>48.25</v>
      </c>
      <c r="D31" s="44" t="n">
        <v>8.89</v>
      </c>
      <c r="E31" s="45" t="n">
        <f aca="false">(D31-AVERAGE(D$21:D$53))^2</f>
        <v>6.528025</v>
      </c>
      <c r="F31" s="46" t="n">
        <f aca="false">IF(C31&lt;$D$10,$D$11,LOG((10^$D$13)/(1+((10^$D$13/10^$D$11)-1)*EXP(-$D$12*(C31-$D$10)))))</f>
        <v>8.86835412736531</v>
      </c>
      <c r="G31" s="28" t="n">
        <f aca="false">(D31-F31)^2</f>
        <v>0.000468543802117269</v>
      </c>
      <c r="M31" s="10"/>
      <c r="N31" s="43" t="n">
        <v>48.25</v>
      </c>
      <c r="O31" s="44" t="n">
        <v>8.89</v>
      </c>
      <c r="P31" s="45" t="n">
        <f aca="false">(O31-AVERAGE(O$21:O$57))^2</f>
        <v>6.528025</v>
      </c>
      <c r="Q31" s="46" t="n">
        <f aca="false">IF(N31&lt;O$10,O$11,LOG((10^O$13)/(1+((10^O$13/10^O$11)-1)*EXP(-O$12*(N31-O$10)))))</f>
        <v>8.86835411909909</v>
      </c>
      <c r="R31" s="28" t="n">
        <f aca="false">(O31-Q31)^2</f>
        <v>0.000468544159976261</v>
      </c>
      <c r="Y31" s="10"/>
      <c r="Z31" s="42" t="n">
        <v>54.0833333333139</v>
      </c>
      <c r="AA31" s="42" t="n">
        <v>8.40483371661994</v>
      </c>
    </row>
    <row r="32" customFormat="false" ht="15" hidden="false" customHeight="false" outlineLevel="0" collapsed="false">
      <c r="C32" s="43" t="n">
        <v>54.08</v>
      </c>
      <c r="D32" s="44" t="n">
        <v>8.88</v>
      </c>
      <c r="E32" s="45" t="n">
        <f aca="false">(D32-AVERAGE(D$21:D$53))^2</f>
        <v>6.477025</v>
      </c>
      <c r="F32" s="46" t="n">
        <f aca="false">IF(C32&lt;$D$10,$D$11,LOG((10^$D$13)/(1+((10^$D$13/10^$D$11)-1)*EXP(-$D$12*(C32-$D$10)))))</f>
        <v>8.87441132498867</v>
      </c>
      <c r="G32" s="28" t="n">
        <f aca="false">(D32-F32)^2</f>
        <v>3.12332883822629E-005</v>
      </c>
      <c r="M32" s="10"/>
      <c r="N32" s="43" t="n">
        <v>54.08</v>
      </c>
      <c r="O32" s="44" t="n">
        <v>8.88</v>
      </c>
      <c r="P32" s="45" t="n">
        <f aca="false">(O32-AVERAGE(O$21:O$57))^2</f>
        <v>6.477025</v>
      </c>
      <c r="Q32" s="46" t="n">
        <f aca="false">IF(N32&lt;O$10,O$11,LOG((10^O$13)/(1+((10^O$13/10^O$11)-1)*EXP(-O$12*(N32-O$10)))))</f>
        <v>8.87441131654895</v>
      </c>
      <c r="R32" s="28" t="n">
        <f aca="false">(O32-Q32)^2</f>
        <v>3.12333827160192E-005</v>
      </c>
      <c r="Y32" s="10"/>
    </row>
    <row r="33" customFormat="false" ht="15" hidden="false" customHeight="false" outlineLevel="0" collapsed="false">
      <c r="C33" s="43"/>
      <c r="D33" s="48"/>
      <c r="E33" s="45"/>
      <c r="F33" s="46"/>
      <c r="G33" s="28"/>
      <c r="M33" s="10"/>
      <c r="N33" s="43"/>
      <c r="O33" s="48"/>
      <c r="P33" s="45"/>
      <c r="Q33" s="46"/>
      <c r="R33" s="28"/>
      <c r="Y33" s="10"/>
    </row>
    <row r="34" customFormat="false" ht="15" hidden="false" customHeight="false" outlineLevel="0" collapsed="false">
      <c r="C34" s="43"/>
      <c r="D34" s="48"/>
      <c r="E34" s="45"/>
      <c r="F34" s="46"/>
      <c r="G34" s="28"/>
      <c r="M34" s="10"/>
      <c r="N34" s="43"/>
      <c r="O34" s="48"/>
      <c r="P34" s="45"/>
      <c r="Q34" s="46"/>
      <c r="R34" s="28"/>
      <c r="Y34" s="10"/>
    </row>
    <row r="35" customFormat="false" ht="15" hidden="false" customHeight="false" outlineLevel="0" collapsed="false">
      <c r="C35" s="43"/>
      <c r="D35" s="48"/>
      <c r="E35" s="45"/>
      <c r="F35" s="46"/>
      <c r="G35" s="28"/>
      <c r="M35" s="10"/>
      <c r="N35" s="43"/>
      <c r="O35" s="48"/>
      <c r="P35" s="45"/>
      <c r="Q35" s="46"/>
      <c r="R35" s="28"/>
      <c r="Y35" s="10"/>
    </row>
    <row r="36" customFormat="false" ht="15" hidden="false" customHeight="false" outlineLevel="0" collapsed="false">
      <c r="C36" s="43"/>
      <c r="D36" s="48"/>
      <c r="E36" s="45"/>
      <c r="F36" s="46"/>
      <c r="G36" s="28"/>
      <c r="M36" s="10"/>
      <c r="N36" s="43"/>
      <c r="O36" s="48"/>
      <c r="P36" s="45"/>
      <c r="Q36" s="46"/>
      <c r="R36" s="28"/>
      <c r="Y36" s="10"/>
    </row>
    <row r="37" customFormat="false" ht="15" hidden="false" customHeight="false" outlineLevel="0" collapsed="false">
      <c r="C37" s="43"/>
      <c r="D37" s="48"/>
      <c r="E37" s="45"/>
      <c r="F37" s="46"/>
      <c r="G37" s="28"/>
      <c r="M37" s="10"/>
      <c r="N37" s="43"/>
      <c r="O37" s="48"/>
      <c r="P37" s="45"/>
      <c r="Q37" s="46"/>
      <c r="R37" s="28"/>
      <c r="Y37" s="10"/>
    </row>
    <row r="38" customFormat="false" ht="15" hidden="false" customHeight="false" outlineLevel="0" collapsed="false">
      <c r="C38" s="43"/>
      <c r="D38" s="48"/>
      <c r="E38" s="45"/>
      <c r="F38" s="46"/>
      <c r="G38" s="28"/>
      <c r="M38" s="10"/>
      <c r="N38" s="43"/>
      <c r="O38" s="48"/>
      <c r="P38" s="45"/>
      <c r="Q38" s="46"/>
      <c r="R38" s="28"/>
      <c r="Y38" s="10"/>
    </row>
    <row r="39" customFormat="false" ht="15" hidden="false" customHeight="false" outlineLevel="0" collapsed="false">
      <c r="C39" s="43"/>
      <c r="D39" s="48"/>
      <c r="E39" s="45"/>
      <c r="F39" s="46"/>
      <c r="G39" s="28"/>
      <c r="M39" s="10"/>
      <c r="N39" s="43"/>
      <c r="O39" s="48"/>
      <c r="P39" s="45"/>
      <c r="Q39" s="46"/>
      <c r="R39" s="28"/>
      <c r="Y39" s="10"/>
    </row>
    <row r="40" customFormat="false" ht="15" hidden="false" customHeight="false" outlineLevel="0" collapsed="false">
      <c r="C40" s="43"/>
      <c r="D40" s="48"/>
      <c r="E40" s="45"/>
      <c r="F40" s="46"/>
      <c r="G40" s="28"/>
      <c r="M40" s="10"/>
      <c r="N40" s="43"/>
      <c r="O40" s="48"/>
      <c r="P40" s="45"/>
      <c r="Q40" s="46"/>
      <c r="R40" s="28"/>
      <c r="Y40" s="10"/>
    </row>
    <row r="41" customFormat="false" ht="15" hidden="false" customHeight="false" outlineLevel="0" collapsed="false">
      <c r="C41" s="43"/>
      <c r="D41" s="48"/>
      <c r="E41" s="45"/>
      <c r="F41" s="46"/>
      <c r="G41" s="28"/>
      <c r="M41" s="10"/>
      <c r="N41" s="43"/>
      <c r="O41" s="48"/>
      <c r="P41" s="45"/>
      <c r="Q41" s="46"/>
      <c r="R41" s="28"/>
      <c r="Y41" s="10"/>
    </row>
    <row r="42" customFormat="false" ht="15" hidden="false" customHeight="false" outlineLevel="0" collapsed="false">
      <c r="C42" s="43"/>
      <c r="D42" s="48"/>
      <c r="E42" s="45"/>
      <c r="F42" s="46"/>
      <c r="G42" s="28"/>
      <c r="M42" s="10"/>
      <c r="N42" s="43"/>
      <c r="O42" s="48"/>
      <c r="P42" s="45"/>
      <c r="Q42" s="46"/>
      <c r="R42" s="28"/>
      <c r="Y42" s="10"/>
    </row>
    <row r="43" customFormat="false" ht="15" hidden="false" customHeight="false" outlineLevel="0" collapsed="false">
      <c r="C43" s="43"/>
      <c r="D43" s="48"/>
      <c r="E43" s="45"/>
      <c r="F43" s="46"/>
      <c r="G43" s="28"/>
      <c r="M43" s="10"/>
      <c r="N43" s="43"/>
      <c r="O43" s="48"/>
      <c r="P43" s="45"/>
      <c r="Q43" s="46"/>
      <c r="R43" s="28"/>
      <c r="Y43" s="10"/>
    </row>
    <row r="44" customFormat="false" ht="15" hidden="false" customHeight="false" outlineLevel="0" collapsed="false">
      <c r="C44" s="43"/>
      <c r="D44" s="48"/>
      <c r="E44" s="45"/>
      <c r="F44" s="46"/>
      <c r="G44" s="28"/>
      <c r="M44" s="10"/>
      <c r="N44" s="43"/>
      <c r="O44" s="48"/>
      <c r="P44" s="45"/>
      <c r="Q44" s="46"/>
      <c r="R44" s="28"/>
      <c r="Y44" s="10"/>
    </row>
    <row r="45" customFormat="false" ht="15" hidden="false" customHeight="false" outlineLevel="0" collapsed="false">
      <c r="C45" s="43"/>
      <c r="D45" s="48"/>
      <c r="E45" s="45"/>
      <c r="F45" s="46"/>
      <c r="G45" s="28"/>
      <c r="M45" s="10"/>
      <c r="N45" s="43"/>
      <c r="O45" s="48"/>
      <c r="P45" s="45"/>
      <c r="Q45" s="46"/>
      <c r="R45" s="28"/>
      <c r="Y45" s="10"/>
    </row>
    <row r="46" customFormat="false" ht="15" hidden="false" customHeight="false" outlineLevel="0" collapsed="false">
      <c r="C46" s="43"/>
      <c r="D46" s="48"/>
      <c r="E46" s="45"/>
      <c r="F46" s="46"/>
      <c r="G46" s="28"/>
      <c r="M46" s="10"/>
      <c r="N46" s="43"/>
      <c r="O46" s="48"/>
      <c r="P46" s="45"/>
      <c r="Q46" s="46"/>
      <c r="R46" s="28"/>
      <c r="Y46" s="10"/>
    </row>
    <row r="47" customFormat="false" ht="15" hidden="false" customHeight="false" outlineLevel="0" collapsed="false">
      <c r="C47" s="43"/>
      <c r="D47" s="48"/>
      <c r="E47" s="45"/>
      <c r="F47" s="46"/>
      <c r="G47" s="28"/>
      <c r="M47" s="10"/>
      <c r="N47" s="43"/>
      <c r="O47" s="48"/>
      <c r="P47" s="45"/>
      <c r="Q47" s="46"/>
      <c r="R47" s="28"/>
      <c r="Y47" s="10"/>
    </row>
    <row r="48" customFormat="false" ht="15" hidden="false" customHeight="false" outlineLevel="0" collapsed="false">
      <c r="C48" s="43"/>
      <c r="D48" s="48"/>
      <c r="E48" s="45"/>
      <c r="F48" s="46"/>
      <c r="G48" s="28"/>
      <c r="M48" s="10"/>
      <c r="N48" s="43"/>
      <c r="O48" s="48"/>
      <c r="P48" s="45"/>
      <c r="Q48" s="46"/>
      <c r="R48" s="28"/>
      <c r="Y48" s="10"/>
    </row>
    <row r="49" customFormat="false" ht="15" hidden="false" customHeight="false" outlineLevel="0" collapsed="false">
      <c r="C49" s="43"/>
      <c r="D49" s="48"/>
      <c r="E49" s="45"/>
      <c r="F49" s="46"/>
      <c r="G49" s="28"/>
      <c r="M49" s="10"/>
      <c r="N49" s="43"/>
      <c r="O49" s="48"/>
      <c r="P49" s="45"/>
      <c r="Q49" s="46"/>
      <c r="R49" s="28"/>
      <c r="Y49" s="10"/>
    </row>
    <row r="50" customFormat="false" ht="15" hidden="false" customHeight="false" outlineLevel="0" collapsed="false">
      <c r="C50" s="43"/>
      <c r="D50" s="48"/>
      <c r="E50" s="45"/>
      <c r="F50" s="46"/>
      <c r="G50" s="28"/>
      <c r="M50" s="10"/>
      <c r="N50" s="43"/>
      <c r="O50" s="48"/>
      <c r="P50" s="45"/>
      <c r="Q50" s="46"/>
      <c r="R50" s="28"/>
      <c r="Y50" s="10"/>
    </row>
    <row r="51" customFormat="false" ht="15" hidden="false" customHeight="false" outlineLevel="0" collapsed="false">
      <c r="C51" s="43"/>
      <c r="D51" s="48"/>
      <c r="E51" s="45"/>
      <c r="F51" s="46"/>
      <c r="G51" s="28"/>
      <c r="M51" s="10"/>
      <c r="N51" s="43"/>
      <c r="O51" s="48"/>
      <c r="P51" s="45"/>
      <c r="Q51" s="46"/>
      <c r="R51" s="28"/>
      <c r="Y51" s="10"/>
    </row>
    <row r="52" customFormat="false" ht="15" hidden="false" customHeight="false" outlineLevel="0" collapsed="false">
      <c r="C52" s="43"/>
      <c r="D52" s="48"/>
      <c r="E52" s="45"/>
      <c r="F52" s="46"/>
      <c r="G52" s="28"/>
      <c r="M52" s="10"/>
      <c r="N52" s="43"/>
      <c r="O52" s="48"/>
      <c r="P52" s="45"/>
      <c r="Q52" s="46"/>
      <c r="R52" s="28"/>
      <c r="Y52" s="10"/>
    </row>
    <row r="53" customFormat="false" ht="15" hidden="false" customHeight="false" outlineLevel="0" collapsed="false">
      <c r="C53" s="43"/>
      <c r="D53" s="48"/>
      <c r="E53" s="45"/>
      <c r="F53" s="46"/>
      <c r="G53" s="28"/>
      <c r="M53" s="10"/>
      <c r="N53" s="43"/>
      <c r="O53" s="48"/>
      <c r="P53" s="45"/>
      <c r="Q53" s="46"/>
      <c r="R53" s="28"/>
      <c r="Y53" s="10"/>
    </row>
    <row r="54" customFormat="false" ht="15.75" hidden="false" customHeight="false" outlineLevel="0" collapsed="false">
      <c r="C54" s="43"/>
      <c r="D54" s="50" t="s">
        <v>21</v>
      </c>
      <c r="E54" s="45"/>
      <c r="F54" s="46"/>
      <c r="G54" s="28"/>
      <c r="M54" s="10"/>
      <c r="N54" s="43"/>
      <c r="O54" s="48"/>
      <c r="P54" s="45"/>
      <c r="Q54" s="46"/>
      <c r="R54" s="28"/>
      <c r="Y54" s="10"/>
    </row>
    <row r="55" customFormat="false" ht="15" hidden="false" customHeight="false" outlineLevel="0" collapsed="false">
      <c r="C55" s="43"/>
      <c r="E55" s="45"/>
      <c r="F55" s="46"/>
      <c r="G55" s="28"/>
      <c r="M55" s="10"/>
      <c r="N55" s="43"/>
      <c r="O55" s="48"/>
      <c r="P55" s="45"/>
      <c r="Q55" s="46"/>
      <c r="R55" s="28"/>
      <c r="Y55" s="10"/>
    </row>
    <row r="56" customFormat="false" ht="15" hidden="false" customHeight="false" outlineLevel="0" collapsed="false">
      <c r="C56" s="43"/>
      <c r="E56" s="45"/>
      <c r="F56" s="46"/>
      <c r="G56" s="28"/>
      <c r="M56" s="10"/>
      <c r="N56" s="43"/>
      <c r="O56" s="48"/>
      <c r="P56" s="45"/>
      <c r="Q56" s="46"/>
      <c r="R56" s="28"/>
      <c r="Y56" s="10"/>
    </row>
    <row r="57" customFormat="false" ht="15" hidden="false" customHeight="false" outlineLevel="0" collapsed="false">
      <c r="C57" s="43"/>
      <c r="E57" s="45"/>
      <c r="F57" s="46"/>
      <c r="G57" s="28"/>
      <c r="M57" s="10"/>
      <c r="N57" s="43"/>
      <c r="O57" s="48"/>
      <c r="P57" s="45"/>
      <c r="Q57" s="46"/>
      <c r="R57" s="28"/>
      <c r="Y57" s="10"/>
    </row>
    <row r="58" customFormat="false" ht="15.75" hidden="false" customHeight="false" outlineLevel="0" collapsed="false">
      <c r="C58" s="49"/>
      <c r="E58" s="50" t="n">
        <f aca="false">SUM(E21:E57)</f>
        <v>54.2497</v>
      </c>
      <c r="F58" s="51"/>
      <c r="G58" s="51"/>
      <c r="H58" s="51"/>
      <c r="I58" s="51"/>
      <c r="J58" s="51"/>
      <c r="K58" s="51"/>
      <c r="L58" s="51"/>
      <c r="M58" s="52"/>
      <c r="N58" s="49"/>
      <c r="O58" s="53" t="s">
        <v>21</v>
      </c>
      <c r="P58" s="54" t="n">
        <f aca="false">SUM(P21:P57)</f>
        <v>54.2497</v>
      </c>
      <c r="Q58" s="51"/>
      <c r="R58" s="51"/>
      <c r="S58" s="51"/>
      <c r="T58" s="51"/>
      <c r="U58" s="51"/>
      <c r="V58" s="51"/>
      <c r="W58" s="51"/>
      <c r="X58" s="51"/>
      <c r="Y58" s="52"/>
    </row>
    <row r="59" customFormat="false" ht="20.25" hidden="false" customHeight="false" outlineLevel="0" collapsed="false">
      <c r="F59" s="55" t="s">
        <v>38</v>
      </c>
    </row>
    <row r="60" customFormat="false" ht="15.75" hidden="false" customHeight="false" outlineLevel="0" collapsed="false">
      <c r="K60" s="56" t="s">
        <v>39</v>
      </c>
      <c r="L60" s="57" t="n">
        <f aca="false">($I$62-$I$65)/($I$63-$I$66)/($I$65/$I$66)</f>
        <v>5.85335872689934E-013</v>
      </c>
    </row>
    <row r="61" customFormat="false" ht="15.75" hidden="false" customHeight="false" outlineLevel="0" collapsed="false">
      <c r="H61" s="58"/>
      <c r="I61" s="58" t="s">
        <v>40</v>
      </c>
      <c r="K61" s="58"/>
      <c r="L61" s="59"/>
    </row>
    <row r="62" customFormat="false" ht="15.75" hidden="false" customHeight="false" outlineLevel="0" collapsed="false">
      <c r="G62" s="58"/>
      <c r="H62" s="58" t="s">
        <v>41</v>
      </c>
      <c r="I62" s="60" t="n">
        <f aca="false">P11</f>
        <v>0.157428436122363</v>
      </c>
      <c r="K62" s="61" t="s">
        <v>42</v>
      </c>
      <c r="L62" s="61" t="n">
        <f aca="false">_xlfn.F.INV.RT(0.05,1,I66)</f>
        <v>5.31765507157871</v>
      </c>
    </row>
    <row r="63" customFormat="false" ht="15.75" hidden="false" customHeight="false" outlineLevel="0" collapsed="false">
      <c r="G63" s="58"/>
      <c r="H63" s="58" t="s">
        <v>43</v>
      </c>
      <c r="I63" s="62" t="n">
        <f aca="false">$U$6-$U$8</f>
        <v>9</v>
      </c>
      <c r="K63" s="61" t="s">
        <v>44</v>
      </c>
      <c r="L63" s="61" t="n">
        <f aca="false">_xlfn.F.INV.RT(0.01,1,I66)</f>
        <v>11.2586241432726</v>
      </c>
    </row>
    <row r="64" customFormat="false" ht="15.75" hidden="false" customHeight="false" outlineLevel="0" collapsed="false">
      <c r="G64" s="58"/>
      <c r="H64" s="58"/>
      <c r="I64" s="58" t="s">
        <v>45</v>
      </c>
    </row>
    <row r="65" customFormat="false" ht="26.25" hidden="false" customHeight="false" outlineLevel="0" collapsed="false">
      <c r="G65" s="58"/>
      <c r="H65" s="58" t="s">
        <v>46</v>
      </c>
      <c r="I65" s="60" t="n">
        <f aca="false">E11</f>
        <v>0.157428436122351</v>
      </c>
      <c r="K65" s="63" t="s">
        <v>47</v>
      </c>
    </row>
    <row r="66" customFormat="false" ht="15.75" hidden="false" customHeight="false" outlineLevel="0" collapsed="false">
      <c r="H66" s="58" t="s">
        <v>48</v>
      </c>
      <c r="I66" s="62" t="n">
        <f aca="false">$H$6-$H$8</f>
        <v>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3:AD66"/>
  <sheetViews>
    <sheetView showFormulas="false" showGridLines="true" showRowColHeaders="true" showZeros="true" rightToLeft="false" tabSelected="false" showOutlineSymbols="true" defaultGridColor="true" view="normal" topLeftCell="M6" colorId="64" zoomScale="85" zoomScaleNormal="85" zoomScalePageLayoutView="100" workbookViewId="0">
      <selection pane="topLeft" activeCell="R24" activeCellId="0" sqref="R24"/>
    </sheetView>
  </sheetViews>
  <sheetFormatPr defaultColWidth="11.42578125" defaultRowHeight="15" zeroHeight="false" outlineLevelRow="0" outlineLevelCol="0"/>
  <cols>
    <col collapsed="false" customWidth="true" hidden="true" outlineLevel="0" max="12" min="1" style="0" width="11.53"/>
  </cols>
  <sheetData>
    <row r="3" customFormat="false" ht="45.75" hidden="false" customHeight="false" outlineLevel="0" collapsed="false">
      <c r="B3" s="1"/>
    </row>
    <row r="4" customFormat="false" ht="15.75" hidden="false" customHeight="false" outlineLevel="0" collapsed="false">
      <c r="B4" s="2" t="s">
        <v>0</v>
      </c>
      <c r="C4" s="3"/>
      <c r="D4" s="3"/>
      <c r="E4" s="4"/>
      <c r="F4" s="4"/>
      <c r="G4" s="4"/>
      <c r="H4" s="4"/>
      <c r="I4" s="4"/>
      <c r="J4" s="4"/>
      <c r="K4" s="4"/>
      <c r="L4" s="5"/>
      <c r="M4" s="6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5"/>
    </row>
    <row r="5" customFormat="false" ht="16.5" hidden="false" customHeight="false" outlineLevel="0" collapsed="false">
      <c r="B5" s="7" t="s">
        <v>1</v>
      </c>
      <c r="C5" s="8"/>
      <c r="D5" s="8"/>
      <c r="G5" s="9" t="s">
        <v>2</v>
      </c>
      <c r="K5" s="9" t="s">
        <v>3</v>
      </c>
      <c r="L5" s="10"/>
      <c r="M5" s="7" t="s">
        <v>4</v>
      </c>
      <c r="W5" s="8"/>
      <c r="X5" s="9" t="s">
        <v>2</v>
      </c>
      <c r="Z5" s="9" t="s">
        <v>5</v>
      </c>
      <c r="AB5" s="10"/>
    </row>
    <row r="6" customFormat="false" ht="17.25" hidden="false" customHeight="false" outlineLevel="0" collapsed="false">
      <c r="B6" s="11" t="s">
        <v>49</v>
      </c>
      <c r="C6" s="12" t="s">
        <v>50</v>
      </c>
      <c r="D6" s="13"/>
      <c r="E6" s="14"/>
      <c r="F6" s="14"/>
      <c r="G6" s="15" t="n">
        <f aca="false">COUNT(F21:F36)</f>
        <v>9</v>
      </c>
      <c r="L6" s="10"/>
      <c r="M6" s="16"/>
      <c r="N6" s="12" t="s">
        <v>8</v>
      </c>
      <c r="O6" s="14"/>
      <c r="P6" s="12"/>
      <c r="Q6" s="12"/>
      <c r="R6" s="12"/>
      <c r="W6" s="8"/>
      <c r="X6" s="15" t="n">
        <f aca="false">COUNT(S21:S45)</f>
        <v>12</v>
      </c>
      <c r="AB6" s="10"/>
    </row>
    <row r="7" customFormat="false" ht="17.25" hidden="false" customHeight="false" outlineLevel="0" collapsed="false">
      <c r="B7" s="11" t="s">
        <v>51</v>
      </c>
      <c r="C7" s="12" t="s">
        <v>52</v>
      </c>
      <c r="D7" s="13"/>
      <c r="E7" s="14"/>
      <c r="F7" s="14"/>
      <c r="G7" s="9" t="s">
        <v>11</v>
      </c>
      <c r="L7" s="10"/>
      <c r="M7" s="16"/>
      <c r="N7" s="12" t="s">
        <v>52</v>
      </c>
      <c r="X7" s="9" t="s">
        <v>11</v>
      </c>
      <c r="AB7" s="10"/>
    </row>
    <row r="8" customFormat="false" ht="15.75" hidden="false" customHeight="false" outlineLevel="0" collapsed="false">
      <c r="B8" s="16"/>
      <c r="E8" s="17"/>
      <c r="F8" s="17"/>
      <c r="G8" s="15" t="n">
        <f aca="false">COUNT(C10:C13)</f>
        <v>4</v>
      </c>
      <c r="L8" s="10"/>
      <c r="M8" s="16"/>
      <c r="X8" s="15" t="n">
        <f aca="false">COUNT(N11:N13)</f>
        <v>3</v>
      </c>
      <c r="AB8" s="10"/>
    </row>
    <row r="9" customFormat="false" ht="15.75" hidden="false" customHeight="false" outlineLevel="0" collapsed="false">
      <c r="B9" s="18" t="s">
        <v>12</v>
      </c>
      <c r="G9" s="19" t="s">
        <v>13</v>
      </c>
      <c r="L9" s="10"/>
      <c r="M9" s="18" t="s">
        <v>12</v>
      </c>
      <c r="P9" s="8"/>
      <c r="Q9" s="8"/>
      <c r="X9" s="19" t="s">
        <v>13</v>
      </c>
      <c r="AB9" s="10"/>
    </row>
    <row r="10" customFormat="false" ht="15.75" hidden="false" customHeight="false" outlineLevel="0" collapsed="false">
      <c r="B10" s="20" t="s">
        <v>14</v>
      </c>
      <c r="C10" s="24" t="n">
        <v>0.972171369313439</v>
      </c>
      <c r="D10" s="22" t="s">
        <v>15</v>
      </c>
      <c r="G10" s="23" t="e">
        <f aca="false">D11/(G6-G8)</f>
        <v>#REF!</v>
      </c>
      <c r="L10" s="10"/>
      <c r="M10" s="20" t="s">
        <v>16</v>
      </c>
      <c r="N10" s="24" t="n">
        <v>0</v>
      </c>
      <c r="O10" s="22" t="s">
        <v>15</v>
      </c>
      <c r="X10" s="23" t="n">
        <f aca="false">O11/(X6-X8)</f>
        <v>0.0286666061065563</v>
      </c>
      <c r="AB10" s="10"/>
    </row>
    <row r="11" customFormat="false" ht="17.25" hidden="false" customHeight="false" outlineLevel="0" collapsed="false">
      <c r="B11" s="25" t="s">
        <v>17</v>
      </c>
      <c r="C11" s="64" t="n">
        <v>5.19587650623435</v>
      </c>
      <c r="D11" s="27" t="e">
        <f aca="false">SUM(F21:F57)</f>
        <v>#REF!</v>
      </c>
      <c r="G11" s="28"/>
      <c r="L11" s="10"/>
      <c r="M11" s="25" t="s">
        <v>17</v>
      </c>
      <c r="N11" s="26" t="n">
        <v>2.96590563313427</v>
      </c>
      <c r="O11" s="27" t="n">
        <f aca="false">SUM(S21:S45)</f>
        <v>0.257999454959006</v>
      </c>
      <c r="X11" s="28"/>
      <c r="AB11" s="10"/>
    </row>
    <row r="12" customFormat="false" ht="17.25" hidden="false" customHeight="false" outlineLevel="0" collapsed="false">
      <c r="B12" s="25" t="s">
        <v>18</v>
      </c>
      <c r="C12" s="64" t="n">
        <v>0.364136545809149</v>
      </c>
      <c r="D12" s="22" t="s">
        <v>19</v>
      </c>
      <c r="G12" s="19" t="s">
        <v>20</v>
      </c>
      <c r="I12" s="9" t="s">
        <v>21</v>
      </c>
      <c r="L12" s="10"/>
      <c r="M12" s="25" t="s">
        <v>22</v>
      </c>
      <c r="N12" s="26" t="n">
        <v>0.367786863748451</v>
      </c>
      <c r="O12" s="22" t="s">
        <v>19</v>
      </c>
      <c r="X12" s="19" t="s">
        <v>20</v>
      </c>
      <c r="Z12" s="9" t="s">
        <v>21</v>
      </c>
      <c r="AB12" s="10"/>
    </row>
    <row r="13" customFormat="false" ht="17.25" hidden="false" customHeight="false" outlineLevel="0" collapsed="false">
      <c r="B13" s="29" t="s">
        <v>23</v>
      </c>
      <c r="C13" s="65" t="n">
        <v>8.06445389424692</v>
      </c>
      <c r="D13" s="31" t="e">
        <f aca="false">SQRT(D11/(COUNT(F21:F57)-G8))</f>
        <v>#REF!</v>
      </c>
      <c r="G13" s="23" t="e">
        <f aca="false">1-D11/I13</f>
        <v>#REF!</v>
      </c>
      <c r="I13" s="23" t="n">
        <f aca="false">D58</f>
        <v>14.2023980775639</v>
      </c>
      <c r="L13" s="10"/>
      <c r="M13" s="29" t="s">
        <v>23</v>
      </c>
      <c r="N13" s="30" t="n">
        <v>8.87522155863781</v>
      </c>
      <c r="O13" s="32" t="n">
        <f aca="false">SQRT(O11/(COUNT(R21:R45)-X8))</f>
        <v>0.169312155814508</v>
      </c>
      <c r="X13" s="23" t="n">
        <f aca="false">1-O11/Z13</f>
        <v>0.99524422337895</v>
      </c>
      <c r="Z13" s="23" t="n">
        <f aca="false">O58</f>
        <v>54.2497</v>
      </c>
      <c r="AB13" s="10"/>
    </row>
    <row r="14" customFormat="false" ht="15.75" hidden="false" customHeight="false" outlineLevel="0" collapsed="false">
      <c r="B14" s="16" t="s">
        <v>24</v>
      </c>
      <c r="C14" s="66" t="n">
        <v>1.42200555937544</v>
      </c>
      <c r="E14" s="33"/>
      <c r="F14" s="34"/>
      <c r="G14" s="19" t="s">
        <v>25</v>
      </c>
      <c r="L14" s="10"/>
      <c r="M14" s="16" t="s">
        <v>53</v>
      </c>
      <c r="N14" s="66" t="n">
        <v>0.341163732442879</v>
      </c>
      <c r="X14" s="19" t="s">
        <v>25</v>
      </c>
      <c r="AB14" s="10"/>
    </row>
    <row r="15" customFormat="false" ht="15.75" hidden="false" customHeight="false" outlineLevel="0" collapsed="false">
      <c r="B15" s="16" t="s">
        <v>54</v>
      </c>
      <c r="C15" s="66" t="n">
        <v>17.211582999633</v>
      </c>
      <c r="E15" s="33"/>
      <c r="F15" s="34"/>
      <c r="G15" s="23" t="e">
        <f aca="false">(((G6-1)*G13)-(G8+1))/(G6-G8)</f>
        <v>#REF!</v>
      </c>
      <c r="L15" s="10"/>
      <c r="M15" s="16" t="s">
        <v>54</v>
      </c>
      <c r="N15" s="66" t="n">
        <v>33.0777890484817</v>
      </c>
      <c r="X15" s="23" t="n">
        <f aca="false">(((X6-1)*X13)-(X8+1))/(X6-X8)</f>
        <v>0.771965161907605</v>
      </c>
      <c r="AB15" s="10"/>
    </row>
    <row r="16" customFormat="false" ht="18.75" hidden="false" customHeight="false" outlineLevel="0" collapsed="false">
      <c r="B16" s="16" t="s">
        <v>55</v>
      </c>
      <c r="C16" s="66" t="n">
        <v>0</v>
      </c>
      <c r="E16" s="33"/>
      <c r="F16" s="34"/>
      <c r="H16" s="35" t="s">
        <v>26</v>
      </c>
      <c r="I16" s="36"/>
      <c r="L16" s="10"/>
      <c r="M16" s="16" t="s">
        <v>55</v>
      </c>
      <c r="N16" s="66" t="n">
        <v>0</v>
      </c>
      <c r="Y16" s="35" t="s">
        <v>26</v>
      </c>
      <c r="Z16" s="36"/>
      <c r="AB16" s="10"/>
    </row>
    <row r="17" customFormat="false" ht="15.75" hidden="false" customHeight="false" outlineLevel="0" collapsed="false">
      <c r="B17" s="16"/>
      <c r="E17" s="33"/>
      <c r="F17" s="34"/>
      <c r="H17" s="23" t="e">
        <f aca="false">1-(1-G13)*((G6-1)/(G6-(G8-1)-1))</f>
        <v>#REF!</v>
      </c>
      <c r="L17" s="10"/>
      <c r="M17" s="16"/>
      <c r="Y17" s="23" t="n">
        <f aca="false">1-(1-X13)*((X6-1)/(X6-(X8-1)-1))</f>
        <v>0.994187384129827</v>
      </c>
      <c r="AB17" s="10"/>
    </row>
    <row r="18" customFormat="false" ht="15" hidden="false" customHeight="false" outlineLevel="0" collapsed="false">
      <c r="B18" s="16"/>
      <c r="E18" s="33"/>
      <c r="F18" s="34"/>
      <c r="G18" s="17"/>
      <c r="H18" s="8"/>
      <c r="L18" s="10"/>
      <c r="M18" s="16"/>
      <c r="AB18" s="10"/>
    </row>
    <row r="19" customFormat="false" ht="15" hidden="false" customHeight="false" outlineLevel="0" collapsed="false">
      <c r="B19" s="18" t="s">
        <v>27</v>
      </c>
      <c r="E19" s="37" t="s">
        <v>28</v>
      </c>
      <c r="H19" s="37" t="s">
        <v>29</v>
      </c>
      <c r="L19" s="10"/>
      <c r="M19" s="18" t="s">
        <v>27</v>
      </c>
      <c r="O19" s="37" t="s">
        <v>56</v>
      </c>
      <c r="Q19" s="37" t="s">
        <v>57</v>
      </c>
      <c r="R19" s="37" t="s">
        <v>58</v>
      </c>
      <c r="W19" s="37" t="s">
        <v>29</v>
      </c>
      <c r="AB19" s="10"/>
    </row>
    <row r="20" customFormat="false" ht="15.75" hidden="false" customHeight="false" outlineLevel="0" collapsed="false">
      <c r="A20" s="0" t="s">
        <v>30</v>
      </c>
      <c r="B20" s="38" t="s">
        <v>32</v>
      </c>
      <c r="C20" s="39" t="s">
        <v>33</v>
      </c>
      <c r="D20" s="40" t="s">
        <v>34</v>
      </c>
      <c r="E20" s="40" t="s">
        <v>33</v>
      </c>
      <c r="F20" s="40" t="s">
        <v>35</v>
      </c>
      <c r="G20" s="67" t="s">
        <v>59</v>
      </c>
      <c r="L20" s="10"/>
      <c r="M20" s="41" t="s">
        <v>36</v>
      </c>
      <c r="N20" s="39" t="s">
        <v>60</v>
      </c>
      <c r="O20" s="40" t="s">
        <v>34</v>
      </c>
      <c r="P20" s="40" t="s">
        <v>33</v>
      </c>
      <c r="Q20" s="68" t="s">
        <v>61</v>
      </c>
      <c r="R20" s="40" t="s">
        <v>59</v>
      </c>
      <c r="S20" s="40" t="s">
        <v>35</v>
      </c>
      <c r="U20" s="67"/>
      <c r="V20" s="67"/>
      <c r="AB20" s="10"/>
      <c r="AC20" s="69"/>
      <c r="AD20" s="69"/>
    </row>
    <row r="21" customFormat="false" ht="15" hidden="false" customHeight="false" outlineLevel="0" collapsed="false">
      <c r="A21" s="0" t="n">
        <f aca="false">Q21/C21</f>
        <v>-0.0345143134301522</v>
      </c>
      <c r="B21" s="70" t="n">
        <v>1</v>
      </c>
      <c r="C21" s="71" t="n">
        <v>5.12710479836481</v>
      </c>
      <c r="D21" s="45" t="n">
        <f aca="false">(C21-AVERAGE(C$21:C$57))^2</f>
        <v>4.31990658629041</v>
      </c>
      <c r="E21" s="46" t="n">
        <f aca="false">IF(B21&lt;$C$10,$C$11,LOG((10^$C$13)/(1+((10^$C$13/10^$C$11)-1)*EXP(-$C$12*(B21-$C$10)))))</f>
        <v>5.20027140890088</v>
      </c>
      <c r="F21" s="28" t="n">
        <f aca="false">(Q21-G21)^2</f>
        <v>0.031314311430084</v>
      </c>
      <c r="G21" s="0" t="n">
        <f aca="false">IF(B21&lt;$C$15,$C$16,$C$14*(LOG((10^$C$13)/(1+((10^$C$13/10^$C$11)-1)*EXP(-$C$12*(B21-$C$15))))-$C$11))</f>
        <v>0</v>
      </c>
      <c r="L21" s="10"/>
      <c r="M21" s="43" t="n">
        <v>1</v>
      </c>
      <c r="N21" s="44" t="n">
        <v>3.2</v>
      </c>
      <c r="O21" s="45" t="n">
        <f aca="false">(N21-AVERAGE(N$21:N$57))^2</f>
        <v>9.828225</v>
      </c>
      <c r="P21" s="46" t="n">
        <f aca="false">IF(M21&lt;N$10,N$11,LOG((10^N$13)/(1+((10^N$13/10^N$11)-1)*EXP(-N$12*(M21-N$10)))))</f>
        <v>3.12563320068827</v>
      </c>
      <c r="Q21" s="72" t="n">
        <v>-0.176958502</v>
      </c>
      <c r="R21" s="73" t="n">
        <f aca="false">IF(M21&lt;$N$15,$N$16,$N$14*(LOG((10^$N$13)/(1+((10^$N$13/10^$N$11)-1)*EXP(-$N$12*(M21-$N$15))))-$N$11))</f>
        <v>0</v>
      </c>
      <c r="S21" s="28" t="n">
        <f aca="false">(Q21-R21)^2</f>
        <v>0.031314311430084</v>
      </c>
      <c r="U21" s="73"/>
      <c r="V21" s="73"/>
      <c r="AB21" s="10"/>
      <c r="AC21" s="69"/>
    </row>
    <row r="22" customFormat="false" ht="15" hidden="false" customHeight="false" outlineLevel="0" collapsed="false">
      <c r="A22" s="0" t="n">
        <f aca="false">Q22/C22</f>
        <v>-0.0107607755189204</v>
      </c>
      <c r="B22" s="43" t="n">
        <v>3.25</v>
      </c>
      <c r="C22" s="48" t="n">
        <v>5.62940959910272</v>
      </c>
      <c r="D22" s="45" t="n">
        <f aca="false">(C22-AVERAGE(C$21:C$57))^2</f>
        <v>2.48419742885587</v>
      </c>
      <c r="E22" s="46" t="n">
        <f aca="false">IF(B22&lt;$C$10,$C$11,LOG((10^$C$13)/(1+((10^$C$13/10^$C$11)-1)*EXP(-$C$12*(B22-$C$10)))))</f>
        <v>5.55533924725384</v>
      </c>
      <c r="F22" s="28" t="n">
        <f aca="false">(Q22-G22)^2</f>
        <v>0.00366955027323697</v>
      </c>
      <c r="G22" s="0" t="n">
        <f aca="false">IF(B22&lt;$C$15,$C$16,$C$14*(LOG((10^$C$13)/(1+((10^$C$13/10^$C$11)-1)*EXP(-$C$12*(B22-$C$15))))-$C$11))</f>
        <v>0</v>
      </c>
      <c r="L22" s="10"/>
      <c r="M22" s="43" t="n">
        <v>3</v>
      </c>
      <c r="N22" s="44" t="n">
        <v>3.66</v>
      </c>
      <c r="O22" s="45" t="n">
        <f aca="false">(N22-AVERAGE(N$21:N$57))^2</f>
        <v>7.155625</v>
      </c>
      <c r="P22" s="46" t="n">
        <f aca="false">IF(M22&lt;N$10,N$11,LOG((10^N$13)/(1+((10^N$13/10^N$11)-1)*EXP(-N$12*(M22-N$10)))))</f>
        <v>3.44508797153941</v>
      </c>
      <c r="Q22" s="72" t="n">
        <v>-0.060576813</v>
      </c>
      <c r="R22" s="74" t="n">
        <f aca="false">IF(M22&lt;$N$15,$N$16,$N$14*(LOG((10^$N$13)/(1+((10^$N$13/10^$N$11)-1)*EXP(-$N$12*(M22-$N$15))))-$N$11))</f>
        <v>0</v>
      </c>
      <c r="S22" s="28" t="n">
        <f aca="false">(Q22-R22)^2</f>
        <v>0.00366955027323697</v>
      </c>
      <c r="AB22" s="10"/>
      <c r="AC22" s="69"/>
    </row>
    <row r="23" customFormat="false" ht="15" hidden="false" customHeight="false" outlineLevel="0" collapsed="false">
      <c r="A23" s="0" t="n">
        <f aca="false">Q23/C23</f>
        <v>0.0144164198659895</v>
      </c>
      <c r="B23" s="43" t="n">
        <v>6.00000000005821</v>
      </c>
      <c r="C23" s="48" t="n">
        <v>5.95424250943933</v>
      </c>
      <c r="D23" s="45" t="n">
        <f aca="false">(C23-AVERAGE(C$21:C$57))^2</f>
        <v>1.56575365714598</v>
      </c>
      <c r="E23" s="46" t="n">
        <f aca="false">IF(B23&lt;$C$10,$C$11,LOG((10^$C$13)/(1+((10^$C$13/10^$C$11)-1)*EXP(-$C$12*(B23-$C$10)))))</f>
        <v>5.98792141344128</v>
      </c>
      <c r="F23" s="28" t="n">
        <f aca="false">(Q23-G23)^2</f>
        <v>0.0073683098860996</v>
      </c>
      <c r="G23" s="0" t="n">
        <f aca="false">IF(B23&lt;$C$15,$C$16,$C$14*(LOG((10^$C$13)/(1+((10^$C$13/10^$C$11)-1)*EXP(-$C$12*(B23-$C$15))))-$C$11))</f>
        <v>0</v>
      </c>
      <c r="L23" s="10"/>
      <c r="M23" s="43" t="n">
        <v>6</v>
      </c>
      <c r="N23" s="44" t="n">
        <v>3.72</v>
      </c>
      <c r="O23" s="45" t="n">
        <f aca="false">(N23-AVERAGE(N$21:N$57))^2</f>
        <v>6.838225</v>
      </c>
      <c r="P23" s="46" t="n">
        <f aca="false">IF(M23&lt;N$10,N$11,LOG((10^N$13)/(1+((10^N$13/10^N$11)-1)*EXP(-N$12*(M23-N$10)))))</f>
        <v>3.92426813872489</v>
      </c>
      <c r="Q23" s="72" t="n">
        <v>0.08583886</v>
      </c>
      <c r="R23" s="74" t="n">
        <f aca="false">IF(M23&lt;$N$15,$N$16,$N$14*(LOG((10^$N$13)/(1+((10^$N$13/10^$N$11)-1)*EXP(-$N$12*(M23-$N$15))))-$N$11))</f>
        <v>0</v>
      </c>
      <c r="S23" s="28" t="n">
        <f aca="false">(Q23-R23)^2</f>
        <v>0.0073683098860996</v>
      </c>
      <c r="AB23" s="10"/>
      <c r="AC23" s="69"/>
    </row>
    <row r="24" customFormat="false" ht="15" hidden="false" customHeight="false" outlineLevel="0" collapsed="false">
      <c r="A24" s="0" t="n">
        <f aca="false">Q24/C24</f>
        <v>-0.00525726699749607</v>
      </c>
      <c r="B24" s="43" t="n">
        <v>9.00000000005821</v>
      </c>
      <c r="C24" s="48" t="n">
        <v>6.52374646681157</v>
      </c>
      <c r="D24" s="45" t="n">
        <f aca="false">(C24-AVERAGE(C$21:C$57))^2</f>
        <v>0.464846915582319</v>
      </c>
      <c r="E24" s="46" t="n">
        <f aca="false">IF(B24&lt;$C$10,$C$11,LOG((10^$C$13)/(1+((10^$C$13/10^$C$11)-1)*EXP(-$C$12*(B24-$C$10)))))</f>
        <v>6.45519319125769</v>
      </c>
      <c r="F24" s="28" t="n">
        <f aca="false">(Q24-G24)^2</f>
        <v>0.00117628949074393</v>
      </c>
      <c r="G24" s="0" t="n">
        <f aca="false">IF(B24&lt;$C$15,$C$16,$C$14*(LOG((10^$C$13)/(1+((10^$C$13/10^$C$11)-1)*EXP(-$C$12*(B24-$C$15))))-$C$11))</f>
        <v>0</v>
      </c>
      <c r="L24" s="10"/>
      <c r="M24" s="43" t="n">
        <v>9</v>
      </c>
      <c r="N24" s="44" t="n">
        <v>4.37</v>
      </c>
      <c r="O24" s="45" t="n">
        <f aca="false">(N24-AVERAGE(N$21:N$57))^2</f>
        <v>3.861225</v>
      </c>
      <c r="P24" s="46" t="n">
        <f aca="false">IF(M24&lt;N$10,N$11,LOG((10^N$13)/(1+((10^N$13/10^N$11)-1)*EXP(-N$12*(M24-N$10)))))</f>
        <v>4.40344176137987</v>
      </c>
      <c r="Q24" s="72" t="n">
        <v>-0.034297077</v>
      </c>
      <c r="R24" s="74" t="n">
        <f aca="false">IF(M24&lt;$N$15,$N$16,$N$14*(LOG((10^$N$13)/(1+((10^$N$13/10^$N$11)-1)*EXP(-$N$12*(M24-$N$15))))-$N$11))</f>
        <v>0</v>
      </c>
      <c r="S24" s="28" t="n">
        <f aca="false">(Q24-R24)^2</f>
        <v>0.00117628949074393</v>
      </c>
      <c r="AB24" s="10"/>
      <c r="AC24" s="69"/>
      <c r="AD24" s="69"/>
    </row>
    <row r="25" customFormat="false" ht="15" hidden="false" customHeight="false" outlineLevel="0" collapsed="false">
      <c r="A25" s="0" t="n">
        <f aca="false">Q25/C25</f>
        <v>-0.0257176712647063</v>
      </c>
      <c r="B25" s="43" t="n">
        <v>12.0000000000582</v>
      </c>
      <c r="C25" s="48" t="n">
        <v>6.88081359228079</v>
      </c>
      <c r="D25" s="45" t="n">
        <f aca="false">(C25-AVERAGE(C$21:C$57))^2</f>
        <v>0.105449380139838</v>
      </c>
      <c r="E25" s="46" t="n">
        <f aca="false">IF(B25&lt;$C$10,$C$11,LOG((10^$C$13)/(1+((10^$C$13/10^$C$11)-1)*EXP(-$C$12*(B25-$C$10)))))</f>
        <v>6.90896041887477</v>
      </c>
      <c r="F25" s="28" t="n">
        <f aca="false">(Q25-G25)^2</f>
        <v>0.031314311430084</v>
      </c>
      <c r="G25" s="0" t="n">
        <f aca="false">IF(B25&lt;$C$15,$C$16,$C$14*(LOG((10^$C$13)/(1+((10^$C$13/10^$C$11)-1)*EXP(-$C$12*(B25-$C$15))))-$C$11))</f>
        <v>0</v>
      </c>
      <c r="L25" s="10"/>
      <c r="M25" s="43" t="n">
        <v>12.17</v>
      </c>
      <c r="N25" s="44" t="n">
        <v>4.76</v>
      </c>
      <c r="O25" s="45" t="n">
        <f aca="false">(N25-AVERAGE(N$21:N$57))^2</f>
        <v>2.480625</v>
      </c>
      <c r="P25" s="46" t="n">
        <f aca="false">IF(M25&lt;N$10,N$11,LOG((10^N$13)/(1+((10^N$13/10^N$11)-1)*EXP(-N$12*(M25-N$10)))))</f>
        <v>4.90974653507779</v>
      </c>
      <c r="Q25" s="72" t="n">
        <v>-0.176958502</v>
      </c>
      <c r="R25" s="74" t="n">
        <f aca="false">IF(M25&lt;$N$15,$N$16,$N$14*(LOG((10^$N$13)/(1+((10^$N$13/10^$N$11)-1)*EXP(-$N$12*(M25-$N$15))))-$N$11))</f>
        <v>0</v>
      </c>
      <c r="S25" s="28" t="n">
        <f aca="false">(Q25-R25)^2</f>
        <v>0.031314311430084</v>
      </c>
      <c r="AB25" s="10"/>
      <c r="AC25" s="69"/>
      <c r="AD25" s="69"/>
    </row>
    <row r="26" customFormat="false" ht="15" hidden="false" customHeight="false" outlineLevel="0" collapsed="false">
      <c r="A26" s="0" t="e">
        <f aca="false">#REF!/C26</f>
        <v>#REF!</v>
      </c>
      <c r="B26" s="43" t="n">
        <v>24.4166666666861</v>
      </c>
      <c r="C26" s="48" t="n">
        <v>8.11394335230684</v>
      </c>
      <c r="D26" s="45" t="n">
        <f aca="false">(C26-AVERAGE(C$21:C$57))^2</f>
        <v>0.825190663243023</v>
      </c>
      <c r="E26" s="46" t="n">
        <f aca="false">IF(B26&lt;$C$10,$C$11,LOG((10^$C$13)/(1+((10^$C$13/10^$C$11)-1)*EXP(-$C$12*(B26-$C$10)))))</f>
        <v>8.00576856091372</v>
      </c>
      <c r="F26" s="28" t="e">
        <f aca="false">(#REF!-G26)^2</f>
        <v>#REF!</v>
      </c>
      <c r="G26" s="0" t="n">
        <f aca="false">IF(B26&lt;$C$15,$C$16,$C$14*(LOG((10^$C$13)/(1+((10^$C$13/10^$C$11)-1)*EXP(-$C$12*(B26-$C$15))))-$C$11))</f>
        <v>1.60968058417157</v>
      </c>
      <c r="L26" s="10"/>
      <c r="M26" s="43" t="n">
        <v>24.17</v>
      </c>
      <c r="N26" s="44" t="n">
        <v>6.82</v>
      </c>
      <c r="O26" s="45" t="n">
        <f aca="false">(N26-AVERAGE(N$21:N$57))^2</f>
        <v>0.235225</v>
      </c>
      <c r="P26" s="46" t="n">
        <f aca="false">IF(M26&lt;N$10,N$11,LOG((10^N$13)/(1+((10^N$13/10^N$11)-1)*EXP(-N$12*(M26-N$10)))))</f>
        <v>6.82266216781268</v>
      </c>
      <c r="Q26" s="72" t="n">
        <v>-0.086856549</v>
      </c>
      <c r="R26" s="74" t="n">
        <f aca="false">IF(M26&lt;$N$15,$N$16,$N$14*(LOG((10^$N$13)/(1+((10^$N$13/10^$N$11)-1)*EXP(-$N$12*(M26-$N$15))))-$N$11))</f>
        <v>0</v>
      </c>
      <c r="S26" s="28" t="n">
        <f aca="false">(Q26-R26)^2</f>
        <v>0.0075440601041894</v>
      </c>
      <c r="AB26" s="10"/>
      <c r="AC26" s="69"/>
    </row>
    <row r="27" customFormat="false" ht="15" hidden="false" customHeight="false" outlineLevel="0" collapsed="false">
      <c r="A27" s="0" t="e">
        <f aca="false">#REF!/C27</f>
        <v>#REF!</v>
      </c>
      <c r="B27" s="43" t="n">
        <v>27.25</v>
      </c>
      <c r="C27" s="48" t="n">
        <v>7.57978359661681</v>
      </c>
      <c r="D27" s="45" t="n">
        <f aca="false">(C27-AVERAGE(C$21:C$57))^2</f>
        <v>0.14005580299498</v>
      </c>
      <c r="E27" s="46" t="n">
        <f aca="false">IF(B27&lt;$C$10,$C$11,LOG((10^$C$13)/(1+((10^$C$13/10^$C$11)-1)*EXP(-$C$12*(B27-$C$10)))))</f>
        <v>8.04261812058601</v>
      </c>
      <c r="F27" s="28" t="e">
        <f aca="false">(#REF!-G27)^2</f>
        <v>#REF!</v>
      </c>
      <c r="G27" s="0" t="n">
        <f aca="false">IF(B27&lt;$C$15,$C$16,$C$14*(LOG((10^$C$13)/(1+((10^$C$13/10^$C$11)-1)*EXP(-$C$12*(B27-$C$15))))-$C$11))</f>
        <v>2.22671660021111</v>
      </c>
      <c r="L27" s="10"/>
      <c r="M27" s="43" t="n">
        <v>27.08</v>
      </c>
      <c r="N27" s="44" t="n">
        <v>7.28</v>
      </c>
      <c r="O27" s="45" t="n">
        <f aca="false">(N27-AVERAGE(N$21:N$57))^2</f>
        <v>0.893025000000001</v>
      </c>
      <c r="P27" s="46" t="n">
        <f aca="false">IF(M27&lt;N$10,N$11,LOG((10^N$13)/(1+((10^N$13/10^N$11)-1)*EXP(-N$12*(M27-N$10)))))</f>
        <v>7.28015884708616</v>
      </c>
      <c r="Q27" s="72" t="n">
        <v>-0.004263092</v>
      </c>
      <c r="R27" s="74" t="n">
        <f aca="false">IF(M27&lt;$N$15,$N$16,$N$14*(LOG((10^$N$13)/(1+((10^$N$13/10^$N$11)-1)*EXP(-$N$12*(M27-$N$15))))-$N$11))</f>
        <v>0</v>
      </c>
      <c r="S27" s="28" t="n">
        <f aca="false">(Q27-R27)^2</f>
        <v>1.8173953400464E-005</v>
      </c>
      <c r="AB27" s="10"/>
      <c r="AC27" s="69"/>
    </row>
    <row r="28" customFormat="false" ht="15" hidden="false" customHeight="false" outlineLevel="0" collapsed="false">
      <c r="A28" s="0" t="e">
        <f aca="false">#REF!/C28</f>
        <v>#REF!</v>
      </c>
      <c r="B28" s="43" t="n">
        <v>30.0000000000582</v>
      </c>
      <c r="C28" s="48" t="n">
        <v>8.09342168516224</v>
      </c>
      <c r="D28" s="45" t="n">
        <f aca="false">(C28-AVERAGE(C$21:C$57))^2</f>
        <v>0.788328034864742</v>
      </c>
      <c r="E28" s="46" t="n">
        <f aca="false">IF(B28&lt;$C$10,$C$11,LOG((10^$C$13)/(1+((10^$C$13/10^$C$11)-1)*EXP(-$C$12*(B28-$C$10)))))</f>
        <v>8.05630386861232</v>
      </c>
      <c r="F28" s="28" t="e">
        <f aca="false">(#REF!-G28)^2</f>
        <v>#REF!</v>
      </c>
      <c r="G28" s="0" t="n">
        <f aca="false">IF(B28&lt;$C$15,$C$16,$C$14*(LOG((10^$C$13)/(1+((10^$C$13/10^$C$11)-1)*EXP(-$C$12*(B28-$C$15))))-$C$11))</f>
        <v>2.79431303244187</v>
      </c>
      <c r="L28" s="10"/>
      <c r="M28" s="43" t="n">
        <v>30.08</v>
      </c>
      <c r="N28" s="44" t="n">
        <v>7.91</v>
      </c>
      <c r="O28" s="45" t="n">
        <f aca="false">(N28-AVERAGE(N$21:N$57))^2</f>
        <v>2.480625</v>
      </c>
      <c r="P28" s="46" t="n">
        <f aca="false">IF(M28&lt;N$10,N$11,LOG((10^N$13)/(1+((10^N$13/10^N$11)-1)*EXP(-N$12*(M28-N$10)))))</f>
        <v>7.73766728782142</v>
      </c>
      <c r="Q28" s="72" t="n">
        <v>-0.18071275</v>
      </c>
      <c r="R28" s="74" t="n">
        <f aca="false">IF(M28&lt;$N$15,$N$16,$N$14*(LOG((10^$N$13)/(1+((10^$N$13/10^$N$11)-1)*EXP(-$N$12*(M28-$N$15))))-$N$11))</f>
        <v>0</v>
      </c>
      <c r="S28" s="28" t="n">
        <f aca="false">(Q28-R28)^2</f>
        <v>0.0326570980125625</v>
      </c>
      <c r="AB28" s="10"/>
      <c r="AC28" s="69"/>
    </row>
    <row r="29" customFormat="false" ht="15" hidden="false" customHeight="false" outlineLevel="0" collapsed="false">
      <c r="A29" s="0" t="n">
        <f aca="false">Q26/C29</f>
        <v>-0.0107317463958705</v>
      </c>
      <c r="B29" s="43" t="n">
        <v>33.0000000000582</v>
      </c>
      <c r="C29" s="48" t="n">
        <v>8.09342168516224</v>
      </c>
      <c r="D29" s="45" t="n">
        <f aca="false">(C29-AVERAGE(C$21:C$57))^2</f>
        <v>0.788328034864742</v>
      </c>
      <c r="E29" s="46" t="n">
        <f aca="false">IF(B29&lt;$C$10,$C$11,LOG((10^$C$13)/(1+((10^$C$13/10^$C$11)-1)*EXP(-$C$12*(B29-$C$10)))))</f>
        <v>8.06170323478475</v>
      </c>
      <c r="F29" s="28" t="n">
        <f aca="false">(Q26-G29)^2</f>
        <v>11.6914170073179</v>
      </c>
      <c r="G29" s="0" t="n">
        <f aca="false">IF(B29&lt;$C$15,$C$16,$C$14*(LOG((10^$C$13)/(1+((10^$C$13/10^$C$11)-1)*EXP(-$C$12*(B29-$C$15))))-$C$11))</f>
        <v>3.33241486569026</v>
      </c>
      <c r="L29" s="10"/>
      <c r="M29" s="43" t="n">
        <v>33.08</v>
      </c>
      <c r="N29" s="44" t="n">
        <v>8.16</v>
      </c>
      <c r="O29" s="45" t="n">
        <f aca="false">(N29-AVERAGE(N$21:N$57))^2</f>
        <v>3.330625</v>
      </c>
      <c r="P29" s="46" t="n">
        <f aca="false">IF(M29&lt;N$10,N$11,LOG((10^N$13)/(1+((10^N$13/10^N$11)-1)*EXP(-N$12*(M29-N$10)))))</f>
        <v>8.1573835937265</v>
      </c>
      <c r="Q29" s="72" t="n">
        <v>-0.176958502</v>
      </c>
      <c r="R29" s="0" t="n">
        <f aca="false">IF(M29&lt;$N$15,$N$16,$N$14*(LOG((10^$N$13)/(1+((10^$N$13/10^$N$11)-1)*EXP(-$N$12*(M29-$N$15))))-$N$11))</f>
        <v>0.000120481971641327</v>
      </c>
      <c r="S29" s="28" t="n">
        <f aca="false">(Q29-R29)^2</f>
        <v>0.0313569665644288</v>
      </c>
      <c r="AB29" s="10"/>
      <c r="AC29" s="69"/>
      <c r="AD29" s="69"/>
    </row>
    <row r="30" customFormat="false" ht="15" hidden="false" customHeight="false" outlineLevel="0" collapsed="false">
      <c r="A30" s="0" t="n">
        <f aca="false">Q27/C30</f>
        <v>-0.000526283578788818</v>
      </c>
      <c r="B30" s="43" t="n">
        <v>35.8333333333721</v>
      </c>
      <c r="C30" s="48" t="n">
        <v>8.10037054511756</v>
      </c>
      <c r="D30" s="45" t="n">
        <f aca="false">(C30-AVERAGE(C$21:C$57))^2</f>
        <v>0.800715806693948</v>
      </c>
      <c r="E30" s="46" t="n">
        <f aca="false">IF(B30&lt;$C$10,$C$11,LOG((10^$C$13)/(1+((10^$C$13/10^$C$11)-1)*EXP(-$C$12*(B30-$C$10)))))</f>
        <v>8.06347157820443</v>
      </c>
      <c r="F30" s="28" t="n">
        <f aca="false">(Q27-G30)^2</f>
        <v>13.746217542347</v>
      </c>
      <c r="G30" s="0" t="n">
        <f aca="false">IF(B30&lt;$C$15,$C$16,$C$14*(LOG((10^$C$13)/(1+((10^$C$13/10^$C$11)-1)*EXP(-$C$12*(B30-$C$15))))-$C$11))</f>
        <v>3.70332608998159</v>
      </c>
      <c r="L30" s="10"/>
      <c r="M30" s="43" t="n">
        <v>35.83</v>
      </c>
      <c r="N30" s="44" t="n">
        <v>8.37</v>
      </c>
      <c r="O30" s="45" t="n">
        <f aca="false">(N30-AVERAGE(N$21:N$57))^2</f>
        <v>4.141225</v>
      </c>
      <c r="P30" s="46" t="n">
        <f aca="false">IF(M30&lt;N$10,N$11,LOG((10^N$13)/(1+((10^N$13/10^N$11)-1)*EXP(-N$12*(M30-N$10)))))</f>
        <v>8.47114686082206</v>
      </c>
      <c r="Q30" s="72" t="n">
        <v>0.228500286</v>
      </c>
      <c r="R30" s="0" t="n">
        <f aca="false">IF(M30&lt;$N$15,$N$16,$N$14*(LOG((10^$N$13)/(1+((10^$N$13/10^$N$11)-1)*EXP(-$N$12*(M30-$N$15))))-$N$11))</f>
        <v>0.149976831576266</v>
      </c>
      <c r="S30" s="28" t="n">
        <f aca="false">(Q30-R30)^2</f>
        <v>0.00616593289463624</v>
      </c>
      <c r="AB30" s="10"/>
      <c r="AC30" s="69"/>
      <c r="AD30" s="69"/>
    </row>
    <row r="31" customFormat="false" ht="15" hidden="false" customHeight="false" outlineLevel="0" collapsed="false">
      <c r="A31" s="0" t="n">
        <f aca="false">Q28/C31</f>
        <v>-0.02211835511456</v>
      </c>
      <c r="B31" s="43" t="n">
        <v>48.5000000001164</v>
      </c>
      <c r="C31" s="48" t="n">
        <v>8.17026171539496</v>
      </c>
      <c r="D31" s="45" t="n">
        <f aca="false">(C31-AVERAGE(C$21:C$57))^2</f>
        <v>0.930681629723236</v>
      </c>
      <c r="E31" s="46" t="n">
        <f aca="false">IF(B31&lt;$C$10,$C$11,LOG((10^$C$13)/(1+((10^$C$13/10^$C$11)-1)*EXP(-$C$12*(B31-$C$10)))))</f>
        <v>8.06444413088548</v>
      </c>
      <c r="F31" s="28" t="n">
        <f aca="false">(Q28-G31)^2</f>
        <v>18.1027335798418</v>
      </c>
      <c r="G31" s="0" t="n">
        <f aca="false">IF(B31&lt;$C$15,$C$16,$C$14*(LOG((10^$C$13)/(1+((10^$C$13/10^$C$11)-1)*EXP(-$C$12*(B31-$C$15))))-$C$11))</f>
        <v>4.07401797941659</v>
      </c>
      <c r="L31" s="10"/>
      <c r="M31" s="43" t="n">
        <v>48.25</v>
      </c>
      <c r="N31" s="44" t="n">
        <v>8.89</v>
      </c>
      <c r="O31" s="45" t="n">
        <f aca="false">(N31-AVERAGE(N$21:N$57))^2</f>
        <v>6.528025</v>
      </c>
      <c r="P31" s="46" t="n">
        <f aca="false">IF(M31&lt;N$10,N$11,LOG((10^N$13)/(1+((10^N$13/10^N$11)-1)*EXP(-N$12*(M31-N$10)))))</f>
        <v>8.86835411909909</v>
      </c>
      <c r="Q31" s="72" t="n">
        <v>1.080714589</v>
      </c>
      <c r="R31" s="0" t="n">
        <f aca="false">IF(M31&lt;$N$15,$N$16,$N$14*(LOG((10^$N$13)/(1+((10^$N$13/10^$N$11)-1)*EXP(-$N$12*(M31-$N$15))))-$N$11))</f>
        <v>0.826736152461025</v>
      </c>
      <c r="S31" s="28" t="n">
        <f aca="false">(Q31-R31)^2</f>
        <v>0.0645050462267821</v>
      </c>
      <c r="AB31" s="10"/>
      <c r="AC31" s="69"/>
      <c r="AD31" s="69"/>
    </row>
    <row r="32" customFormat="false" ht="15" hidden="false" customHeight="false" outlineLevel="0" collapsed="false">
      <c r="A32" s="0" t="n">
        <f aca="false">Q29/C32</f>
        <v>-0.0215803051219512</v>
      </c>
      <c r="B32" s="43" t="n">
        <v>54.0000000000582</v>
      </c>
      <c r="C32" s="48" t="n">
        <v>8.2</v>
      </c>
      <c r="D32" s="45" t="n">
        <f aca="false">(C32-AVERAGE(C$21:C$57))^2</f>
        <v>0.988944137164802</v>
      </c>
      <c r="E32" s="46" t="n">
        <f aca="false">IF(B32&lt;$C$10,$C$11,LOG((10^$C$13)/(1+((10^$C$13/10^$C$11)-1)*EXP(-$C$12*(B32-$C$10)))))</f>
        <v>8.0644525765368</v>
      </c>
      <c r="F32" s="28" t="n">
        <f aca="false">(Q29-G32)^2</f>
        <v>18.1084179013421</v>
      </c>
      <c r="G32" s="0" t="n">
        <f aca="false">IF(B32&lt;$C$15,$C$16,$C$14*(LOG((10^$C$13)/(1+((10^$C$13/10^$C$11)-1)*EXP(-$C$12*(B32-$C$15))))-$C$11))</f>
        <v>4.07844017513262</v>
      </c>
      <c r="L32" s="10"/>
      <c r="M32" s="43" t="n">
        <v>54.08</v>
      </c>
      <c r="N32" s="44" t="n">
        <v>8.88</v>
      </c>
      <c r="O32" s="45" t="n">
        <f aca="false">(N32-AVERAGE(N$21:N$57))^2</f>
        <v>6.477025</v>
      </c>
      <c r="P32" s="46" t="n">
        <f aca="false">IF(M32&lt;N$10,N$11,LOG((10^N$13)/(1+((10^N$13/10^N$11)-1)*EXP(-N$12*(M32-N$10)))))</f>
        <v>8.87441131654895</v>
      </c>
      <c r="Q32" s="72" t="n">
        <v>0.941807412</v>
      </c>
      <c r="R32" s="73" t="n">
        <f aca="false">IF(M32&lt;$N$15,$N$16,$N$14*(LOG((10^$N$13)/(1+((10^$N$13/10^$N$11)-1)*EXP(-$N$12*(M32-$N$15))))-$N$11))</f>
        <v>1.14406814643147</v>
      </c>
      <c r="S32" s="28" t="n">
        <f aca="false">(Q32-R32)^2</f>
        <v>0.0409094046927584</v>
      </c>
      <c r="AB32" s="10"/>
    </row>
    <row r="33" customFormat="false" ht="15" hidden="false" customHeight="false" outlineLevel="0" collapsed="false">
      <c r="B33" s="43"/>
      <c r="C33" s="48"/>
      <c r="D33" s="45"/>
      <c r="E33" s="46"/>
      <c r="F33" s="28"/>
      <c r="L33" s="10"/>
      <c r="M33" s="43"/>
      <c r="N33" s="48"/>
      <c r="O33" s="45"/>
      <c r="P33" s="46"/>
      <c r="Q33" s="46"/>
      <c r="R33" s="28"/>
      <c r="AB33" s="10"/>
    </row>
    <row r="34" customFormat="false" ht="15" hidden="false" customHeight="false" outlineLevel="0" collapsed="false">
      <c r="B34" s="43"/>
      <c r="C34" s="48"/>
      <c r="D34" s="45"/>
      <c r="E34" s="46"/>
      <c r="F34" s="28"/>
      <c r="L34" s="10"/>
      <c r="M34" s="43"/>
      <c r="N34" s="48"/>
      <c r="O34" s="45"/>
      <c r="P34" s="46"/>
      <c r="Q34" s="46"/>
      <c r="R34" s="28"/>
      <c r="AB34" s="10"/>
    </row>
    <row r="35" customFormat="false" ht="15" hidden="false" customHeight="false" outlineLevel="0" collapsed="false">
      <c r="B35" s="43"/>
      <c r="C35" s="48"/>
      <c r="D35" s="45"/>
      <c r="E35" s="46"/>
      <c r="F35" s="28"/>
      <c r="L35" s="10"/>
      <c r="M35" s="43"/>
      <c r="N35" s="48"/>
      <c r="O35" s="45"/>
      <c r="P35" s="46"/>
      <c r="Q35" s="46"/>
      <c r="R35" s="28"/>
      <c r="AB35" s="10"/>
    </row>
    <row r="36" customFormat="false" ht="15" hidden="false" customHeight="false" outlineLevel="0" collapsed="false">
      <c r="B36" s="43"/>
      <c r="C36" s="48"/>
      <c r="D36" s="45"/>
      <c r="E36" s="46"/>
      <c r="F36" s="28"/>
      <c r="L36" s="10"/>
      <c r="M36" s="43"/>
      <c r="N36" s="48"/>
      <c r="O36" s="45"/>
      <c r="P36" s="46"/>
      <c r="Q36" s="46"/>
      <c r="R36" s="28"/>
      <c r="AB36" s="10"/>
    </row>
    <row r="37" customFormat="false" ht="15" hidden="false" customHeight="false" outlineLevel="0" collapsed="false">
      <c r="B37" s="43"/>
      <c r="C37" s="48"/>
      <c r="D37" s="45"/>
      <c r="E37" s="46"/>
      <c r="F37" s="28"/>
      <c r="L37" s="10"/>
      <c r="M37" s="43"/>
      <c r="N37" s="48"/>
      <c r="O37" s="45"/>
      <c r="P37" s="46"/>
      <c r="Q37" s="46"/>
      <c r="R37" s="28"/>
      <c r="AB37" s="10"/>
    </row>
    <row r="38" customFormat="false" ht="15" hidden="false" customHeight="false" outlineLevel="0" collapsed="false">
      <c r="B38" s="43"/>
      <c r="C38" s="48"/>
      <c r="D38" s="45"/>
      <c r="E38" s="46"/>
      <c r="F38" s="28"/>
      <c r="L38" s="10"/>
      <c r="M38" s="43"/>
      <c r="N38" s="48"/>
      <c r="O38" s="45"/>
      <c r="P38" s="46"/>
      <c r="Q38" s="46"/>
      <c r="R38" s="28"/>
      <c r="AB38" s="10"/>
    </row>
    <row r="39" customFormat="false" ht="15" hidden="false" customHeight="false" outlineLevel="0" collapsed="false">
      <c r="B39" s="43"/>
      <c r="C39" s="48"/>
      <c r="D39" s="45"/>
      <c r="E39" s="46"/>
      <c r="F39" s="28"/>
      <c r="L39" s="10"/>
      <c r="M39" s="43"/>
      <c r="N39" s="48"/>
      <c r="O39" s="45"/>
      <c r="P39" s="46"/>
      <c r="Q39" s="46"/>
      <c r="R39" s="28"/>
      <c r="AB39" s="10"/>
    </row>
    <row r="40" customFormat="false" ht="15" hidden="false" customHeight="false" outlineLevel="0" collapsed="false">
      <c r="B40" s="43"/>
      <c r="C40" s="48"/>
      <c r="D40" s="45"/>
      <c r="E40" s="46"/>
      <c r="F40" s="28"/>
      <c r="L40" s="10"/>
      <c r="M40" s="43"/>
      <c r="N40" s="48"/>
      <c r="O40" s="45"/>
      <c r="P40" s="46"/>
      <c r="Q40" s="46"/>
      <c r="R40" s="28"/>
      <c r="AB40" s="10"/>
    </row>
    <row r="41" customFormat="false" ht="15" hidden="false" customHeight="false" outlineLevel="0" collapsed="false">
      <c r="B41" s="43"/>
      <c r="C41" s="48"/>
      <c r="D41" s="45"/>
      <c r="E41" s="46"/>
      <c r="F41" s="28"/>
      <c r="L41" s="10"/>
      <c r="M41" s="43"/>
      <c r="N41" s="48"/>
      <c r="O41" s="45"/>
      <c r="P41" s="46"/>
      <c r="Q41" s="46"/>
      <c r="R41" s="28"/>
      <c r="AB41" s="10"/>
    </row>
    <row r="42" customFormat="false" ht="15" hidden="false" customHeight="false" outlineLevel="0" collapsed="false">
      <c r="B42" s="43"/>
      <c r="C42" s="48"/>
      <c r="D42" s="45"/>
      <c r="E42" s="46"/>
      <c r="F42" s="28"/>
      <c r="L42" s="10"/>
      <c r="M42" s="43"/>
      <c r="N42" s="48"/>
      <c r="O42" s="45"/>
      <c r="P42" s="46"/>
      <c r="Q42" s="46"/>
      <c r="R42" s="28"/>
      <c r="AB42" s="10"/>
    </row>
    <row r="43" customFormat="false" ht="15" hidden="false" customHeight="false" outlineLevel="0" collapsed="false">
      <c r="B43" s="43"/>
      <c r="C43" s="48"/>
      <c r="D43" s="45"/>
      <c r="E43" s="46"/>
      <c r="F43" s="28"/>
      <c r="L43" s="10"/>
      <c r="M43" s="43"/>
      <c r="N43" s="48"/>
      <c r="O43" s="45"/>
      <c r="P43" s="46"/>
      <c r="Q43" s="46"/>
      <c r="R43" s="28"/>
      <c r="AB43" s="10"/>
    </row>
    <row r="44" customFormat="false" ht="15" hidden="false" customHeight="false" outlineLevel="0" collapsed="false">
      <c r="B44" s="43"/>
      <c r="C44" s="48"/>
      <c r="D44" s="45"/>
      <c r="E44" s="46"/>
      <c r="F44" s="28"/>
      <c r="L44" s="10"/>
      <c r="M44" s="43"/>
      <c r="N44" s="48"/>
      <c r="O44" s="45"/>
      <c r="P44" s="46"/>
      <c r="Q44" s="46"/>
      <c r="R44" s="28"/>
      <c r="AB44" s="10"/>
    </row>
    <row r="45" customFormat="false" ht="15" hidden="false" customHeight="false" outlineLevel="0" collapsed="false">
      <c r="B45" s="43"/>
      <c r="C45" s="48"/>
      <c r="D45" s="45"/>
      <c r="E45" s="46"/>
      <c r="F45" s="28"/>
      <c r="L45" s="10"/>
      <c r="M45" s="43"/>
      <c r="N45" s="48"/>
      <c r="O45" s="45"/>
      <c r="P45" s="46"/>
      <c r="Q45" s="46"/>
      <c r="R45" s="28"/>
      <c r="AB45" s="10"/>
    </row>
    <row r="46" customFormat="false" ht="15" hidden="false" customHeight="false" outlineLevel="0" collapsed="false">
      <c r="B46" s="43"/>
      <c r="C46" s="48"/>
      <c r="D46" s="45"/>
      <c r="E46" s="46"/>
      <c r="F46" s="28"/>
      <c r="H46" s="0" t="n">
        <f aca="false">LOG(2)</f>
        <v>0.301029995663981</v>
      </c>
      <c r="L46" s="10"/>
      <c r="M46" s="43"/>
      <c r="N46" s="48"/>
      <c r="O46" s="45"/>
      <c r="P46" s="46"/>
      <c r="Q46" s="46"/>
      <c r="R46" s="28"/>
      <c r="AB46" s="10"/>
    </row>
    <row r="47" customFormat="false" ht="15" hidden="false" customHeight="false" outlineLevel="0" collapsed="false">
      <c r="B47" s="43"/>
      <c r="C47" s="48"/>
      <c r="D47" s="45"/>
      <c r="E47" s="46"/>
      <c r="F47" s="28"/>
      <c r="H47" s="0" t="n">
        <f aca="false">LN(2)</f>
        <v>0.693147180559945</v>
      </c>
      <c r="L47" s="10"/>
      <c r="M47" s="43"/>
      <c r="N47" s="48"/>
      <c r="O47" s="45"/>
      <c r="P47" s="46"/>
      <c r="Q47" s="46"/>
      <c r="R47" s="28"/>
      <c r="AB47" s="10"/>
    </row>
    <row r="48" customFormat="false" ht="15" hidden="false" customHeight="false" outlineLevel="0" collapsed="false">
      <c r="B48" s="43"/>
      <c r="C48" s="48"/>
      <c r="D48" s="45"/>
      <c r="E48" s="46"/>
      <c r="F48" s="28"/>
      <c r="L48" s="10"/>
      <c r="M48" s="43"/>
      <c r="N48" s="48"/>
      <c r="O48" s="45"/>
      <c r="P48" s="46"/>
      <c r="Q48" s="46"/>
      <c r="R48" s="28"/>
      <c r="AB48" s="10"/>
    </row>
    <row r="49" customFormat="false" ht="15" hidden="false" customHeight="false" outlineLevel="0" collapsed="false">
      <c r="B49" s="43"/>
      <c r="C49" s="48"/>
      <c r="D49" s="45"/>
      <c r="E49" s="46"/>
      <c r="F49" s="28"/>
      <c r="L49" s="10"/>
      <c r="M49" s="43"/>
      <c r="N49" s="48"/>
      <c r="O49" s="45"/>
      <c r="P49" s="46"/>
      <c r="Q49" s="46"/>
      <c r="R49" s="28"/>
      <c r="AB49" s="10"/>
    </row>
    <row r="50" customFormat="false" ht="15" hidden="false" customHeight="false" outlineLevel="0" collapsed="false">
      <c r="B50" s="43"/>
      <c r="C50" s="48"/>
      <c r="D50" s="45"/>
      <c r="E50" s="46"/>
      <c r="F50" s="28"/>
      <c r="L50" s="10"/>
      <c r="M50" s="43"/>
      <c r="N50" s="48"/>
      <c r="O50" s="45"/>
      <c r="P50" s="46"/>
      <c r="Q50" s="46"/>
      <c r="R50" s="28"/>
      <c r="AB50" s="10"/>
    </row>
    <row r="51" customFormat="false" ht="15" hidden="false" customHeight="false" outlineLevel="0" collapsed="false">
      <c r="B51" s="43"/>
      <c r="C51" s="48"/>
      <c r="D51" s="45"/>
      <c r="E51" s="46"/>
      <c r="F51" s="28"/>
      <c r="L51" s="10"/>
      <c r="M51" s="43"/>
      <c r="N51" s="48"/>
      <c r="O51" s="45"/>
      <c r="P51" s="46"/>
      <c r="Q51" s="46"/>
      <c r="R51" s="28"/>
      <c r="AB51" s="10"/>
    </row>
    <row r="52" customFormat="false" ht="15" hidden="false" customHeight="false" outlineLevel="0" collapsed="false">
      <c r="B52" s="43"/>
      <c r="C52" s="48"/>
      <c r="D52" s="45"/>
      <c r="E52" s="46"/>
      <c r="F52" s="28"/>
      <c r="L52" s="10"/>
      <c r="M52" s="43"/>
      <c r="N52" s="48"/>
      <c r="O52" s="45"/>
      <c r="P52" s="46"/>
      <c r="Q52" s="46"/>
      <c r="R52" s="28"/>
      <c r="AB52" s="10"/>
    </row>
    <row r="53" customFormat="false" ht="15" hidden="false" customHeight="false" outlineLevel="0" collapsed="false">
      <c r="B53" s="43"/>
      <c r="C53" s="48"/>
      <c r="D53" s="45"/>
      <c r="E53" s="46"/>
      <c r="F53" s="28"/>
      <c r="L53" s="10"/>
      <c r="M53" s="43"/>
      <c r="N53" s="48"/>
      <c r="O53" s="45"/>
      <c r="P53" s="46"/>
      <c r="Q53" s="46"/>
      <c r="R53" s="28"/>
      <c r="AB53" s="10"/>
    </row>
    <row r="54" customFormat="false" ht="15.75" hidden="false" customHeight="false" outlineLevel="0" collapsed="false">
      <c r="B54" s="43"/>
      <c r="C54" s="48"/>
      <c r="D54" s="45"/>
      <c r="E54" s="46"/>
      <c r="F54" s="28"/>
      <c r="L54" s="10"/>
      <c r="M54" s="43"/>
      <c r="N54" s="48"/>
      <c r="O54" s="45"/>
      <c r="P54" s="46"/>
      <c r="Q54" s="51"/>
      <c r="R54" s="28"/>
      <c r="AB54" s="10"/>
    </row>
    <row r="55" customFormat="false" ht="15" hidden="false" customHeight="false" outlineLevel="0" collapsed="false">
      <c r="B55" s="43"/>
      <c r="C55" s="48"/>
      <c r="D55" s="45"/>
      <c r="E55" s="46"/>
      <c r="F55" s="28"/>
      <c r="L55" s="10"/>
      <c r="M55" s="43"/>
      <c r="N55" s="48"/>
      <c r="O55" s="45"/>
      <c r="P55" s="46"/>
      <c r="R55" s="28"/>
      <c r="AB55" s="10"/>
    </row>
    <row r="56" customFormat="false" ht="15" hidden="false" customHeight="false" outlineLevel="0" collapsed="false">
      <c r="B56" s="43"/>
      <c r="C56" s="48"/>
      <c r="D56" s="45"/>
      <c r="E56" s="46"/>
      <c r="F56" s="28"/>
      <c r="L56" s="10"/>
      <c r="M56" s="43"/>
      <c r="N56" s="48"/>
      <c r="O56" s="45"/>
      <c r="P56" s="46"/>
      <c r="R56" s="28"/>
      <c r="AB56" s="10"/>
    </row>
    <row r="57" customFormat="false" ht="15" hidden="false" customHeight="false" outlineLevel="0" collapsed="false">
      <c r="B57" s="43"/>
      <c r="C57" s="48"/>
      <c r="D57" s="45"/>
      <c r="E57" s="46"/>
      <c r="F57" s="28"/>
      <c r="L57" s="10"/>
      <c r="M57" s="43"/>
      <c r="N57" s="48"/>
      <c r="O57" s="45"/>
      <c r="P57" s="46"/>
      <c r="R57" s="28"/>
      <c r="AB57" s="10"/>
    </row>
    <row r="58" customFormat="false" ht="15.75" hidden="false" customHeight="false" outlineLevel="0" collapsed="false">
      <c r="B58" s="49"/>
      <c r="C58" s="50" t="s">
        <v>21</v>
      </c>
      <c r="D58" s="50" t="n">
        <f aca="false">SUM(D21:D57)</f>
        <v>14.2023980775639</v>
      </c>
      <c r="E58" s="51"/>
      <c r="F58" s="51"/>
      <c r="G58" s="51"/>
      <c r="H58" s="51"/>
      <c r="I58" s="51"/>
      <c r="J58" s="51"/>
      <c r="K58" s="51"/>
      <c r="L58" s="52"/>
      <c r="M58" s="49"/>
      <c r="N58" s="53" t="s">
        <v>21</v>
      </c>
      <c r="O58" s="54" t="n">
        <f aca="false">SUM(O21:O57)</f>
        <v>54.2497</v>
      </c>
      <c r="P58" s="51"/>
      <c r="R58" s="51"/>
      <c r="S58" s="51"/>
      <c r="T58" s="51"/>
      <c r="U58" s="51"/>
      <c r="V58" s="51"/>
      <c r="W58" s="51"/>
      <c r="X58" s="51"/>
      <c r="Y58" s="51"/>
      <c r="Z58" s="51"/>
      <c r="AA58" s="51"/>
      <c r="AB58" s="52"/>
    </row>
    <row r="59" customFormat="false" ht="20.25" hidden="false" customHeight="false" outlineLevel="0" collapsed="false">
      <c r="E59" s="55" t="s">
        <v>38</v>
      </c>
    </row>
    <row r="60" customFormat="false" ht="15.75" hidden="false" customHeight="false" outlineLevel="0" collapsed="false">
      <c r="J60" s="56" t="s">
        <v>39</v>
      </c>
      <c r="K60" s="57" t="e">
        <f aca="false">($H$62-$H$65)/($H$63-$H$66)/($H$65/$H$66)</f>
        <v>#REF!</v>
      </c>
    </row>
    <row r="61" customFormat="false" ht="15.75" hidden="false" customHeight="false" outlineLevel="0" collapsed="false">
      <c r="G61" s="58"/>
      <c r="H61" s="58" t="s">
        <v>40</v>
      </c>
      <c r="J61" s="58"/>
      <c r="K61" s="59"/>
    </row>
    <row r="62" customFormat="false" ht="15.75" hidden="false" customHeight="false" outlineLevel="0" collapsed="false">
      <c r="F62" s="58"/>
      <c r="G62" s="58" t="s">
        <v>41</v>
      </c>
      <c r="H62" s="60" t="n">
        <f aca="false">O11</f>
        <v>0.257999454959006</v>
      </c>
      <c r="J62" s="61" t="s">
        <v>42</v>
      </c>
      <c r="K62" s="61" t="n">
        <f aca="false">_xlfn.F.INV.RT(0.05,1,H66)</f>
        <v>6.60789097370337</v>
      </c>
    </row>
    <row r="63" customFormat="false" ht="15.75" hidden="false" customHeight="false" outlineLevel="0" collapsed="false">
      <c r="F63" s="58"/>
      <c r="G63" s="58" t="s">
        <v>43</v>
      </c>
      <c r="H63" s="62" t="n">
        <f aca="false">$X$6-$X$8</f>
        <v>9</v>
      </c>
      <c r="J63" s="61" t="s">
        <v>44</v>
      </c>
      <c r="K63" s="61" t="n">
        <f aca="false">_xlfn.F.INV.RT(0.01,1,H66)</f>
        <v>16.2581770398337</v>
      </c>
    </row>
    <row r="64" customFormat="false" ht="15.75" hidden="false" customHeight="false" outlineLevel="0" collapsed="false">
      <c r="F64" s="58"/>
      <c r="G64" s="58"/>
      <c r="H64" s="58" t="s">
        <v>45</v>
      </c>
    </row>
    <row r="65" customFormat="false" ht="26.25" hidden="false" customHeight="false" outlineLevel="0" collapsed="false">
      <c r="F65" s="58"/>
      <c r="G65" s="58" t="s">
        <v>46</v>
      </c>
      <c r="H65" s="60" t="e">
        <f aca="false">D11</f>
        <v>#REF!</v>
      </c>
      <c r="J65" s="63" t="s">
        <v>47</v>
      </c>
    </row>
    <row r="66" customFormat="false" ht="15.75" hidden="false" customHeight="false" outlineLevel="0" collapsed="false">
      <c r="G66" s="58" t="s">
        <v>48</v>
      </c>
      <c r="H66" s="62" t="n">
        <f aca="false">$G$6-$G$8</f>
        <v>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3:AA66"/>
  <sheetViews>
    <sheetView showFormulas="false" showGridLines="true" showRowColHeaders="true" showZeros="true" rightToLeft="false" tabSelected="false" showOutlineSymbols="true" defaultGridColor="true" view="normal" topLeftCell="A10" colorId="64" zoomScale="85" zoomScaleNormal="85" zoomScalePageLayoutView="100" workbookViewId="0">
      <selection pane="topLeft" activeCell="G37" activeCellId="0" sqref="G37"/>
    </sheetView>
  </sheetViews>
  <sheetFormatPr defaultColWidth="11.42578125" defaultRowHeight="15" zeroHeight="false" outlineLevelRow="0" outlineLevelCol="0"/>
  <sheetData>
    <row r="3" customFormat="false" ht="45.75" hidden="false" customHeight="false" outlineLevel="0" collapsed="false">
      <c r="C3" s="1"/>
    </row>
    <row r="4" customFormat="false" ht="15.75" hidden="false" customHeight="false" outlineLevel="0" collapsed="false">
      <c r="C4" s="2" t="s">
        <v>0</v>
      </c>
      <c r="D4" s="3"/>
      <c r="E4" s="3"/>
      <c r="F4" s="4"/>
      <c r="G4" s="4"/>
      <c r="H4" s="4"/>
      <c r="I4" s="4"/>
      <c r="J4" s="4"/>
      <c r="K4" s="4"/>
      <c r="L4" s="4"/>
      <c r="M4" s="5"/>
      <c r="N4" s="6"/>
      <c r="O4" s="4"/>
      <c r="P4" s="4"/>
      <c r="Q4" s="4"/>
      <c r="R4" s="4"/>
      <c r="S4" s="4"/>
      <c r="T4" s="4"/>
      <c r="U4" s="4"/>
      <c r="V4" s="4"/>
      <c r="W4" s="4"/>
      <c r="X4" s="4"/>
      <c r="Y4" s="5"/>
    </row>
    <row r="5" customFormat="false" ht="16.5" hidden="false" customHeight="false" outlineLevel="0" collapsed="false">
      <c r="C5" s="7" t="s">
        <v>1</v>
      </c>
      <c r="D5" s="8"/>
      <c r="E5" s="8"/>
      <c r="H5" s="9" t="s">
        <v>2</v>
      </c>
      <c r="L5" s="9" t="s">
        <v>3</v>
      </c>
      <c r="M5" s="10"/>
      <c r="N5" s="7" t="s">
        <v>4</v>
      </c>
      <c r="T5" s="8"/>
      <c r="U5" s="9" t="s">
        <v>2</v>
      </c>
      <c r="W5" s="9" t="s">
        <v>5</v>
      </c>
      <c r="Y5" s="10"/>
    </row>
    <row r="6" customFormat="false" ht="17.25" hidden="false" customHeight="false" outlineLevel="0" collapsed="false">
      <c r="C6" s="11" t="s">
        <v>6</v>
      </c>
      <c r="D6" s="12" t="s">
        <v>7</v>
      </c>
      <c r="E6" s="13"/>
      <c r="F6" s="14"/>
      <c r="G6" s="14"/>
      <c r="H6" s="15" t="n">
        <f aca="false">COUNT(G21:G36)</f>
        <v>12</v>
      </c>
      <c r="M6" s="10"/>
      <c r="N6" s="16"/>
      <c r="O6" s="12" t="s">
        <v>8</v>
      </c>
      <c r="P6" s="14"/>
      <c r="Q6" s="12"/>
      <c r="R6" s="12"/>
      <c r="S6" s="14"/>
      <c r="T6" s="8"/>
      <c r="U6" s="15" t="n">
        <f aca="false">COUNT(R21:R57)</f>
        <v>12</v>
      </c>
      <c r="Y6" s="10"/>
    </row>
    <row r="7" customFormat="false" ht="17.25" hidden="false" customHeight="false" outlineLevel="0" collapsed="false">
      <c r="C7" s="11" t="s">
        <v>9</v>
      </c>
      <c r="D7" s="12" t="s">
        <v>10</v>
      </c>
      <c r="E7" s="13"/>
      <c r="F7" s="14"/>
      <c r="G7" s="14"/>
      <c r="H7" s="9" t="s">
        <v>11</v>
      </c>
      <c r="M7" s="10"/>
      <c r="N7" s="16"/>
      <c r="U7" s="9" t="s">
        <v>11</v>
      </c>
      <c r="Y7" s="10"/>
    </row>
    <row r="8" customFormat="false" ht="15.75" hidden="false" customHeight="false" outlineLevel="0" collapsed="false">
      <c r="C8" s="16"/>
      <c r="F8" s="17"/>
      <c r="G8" s="17"/>
      <c r="H8" s="15" t="n">
        <f aca="false">COUNT(D10:D13)</f>
        <v>4</v>
      </c>
      <c r="M8" s="10"/>
      <c r="N8" s="16"/>
      <c r="U8" s="15" t="n">
        <f aca="false">COUNT(O11:O13)</f>
        <v>3</v>
      </c>
      <c r="Y8" s="10"/>
    </row>
    <row r="9" customFormat="false" ht="15.75" hidden="false" customHeight="false" outlineLevel="0" collapsed="false">
      <c r="C9" s="18" t="s">
        <v>12</v>
      </c>
      <c r="H9" s="19" t="s">
        <v>13</v>
      </c>
      <c r="M9" s="10"/>
      <c r="N9" s="18" t="s">
        <v>12</v>
      </c>
      <c r="Q9" s="8"/>
      <c r="U9" s="19" t="s">
        <v>13</v>
      </c>
      <c r="Y9" s="10"/>
    </row>
    <row r="10" customFormat="false" ht="15.75" hidden="false" customHeight="false" outlineLevel="0" collapsed="false">
      <c r="C10" s="20" t="s">
        <v>14</v>
      </c>
      <c r="D10" s="21" t="n">
        <v>0</v>
      </c>
      <c r="E10" s="22" t="s">
        <v>15</v>
      </c>
      <c r="H10" s="23" t="n">
        <f aca="false">E11/(H6-H8)</f>
        <v>0.00541121988230716</v>
      </c>
      <c r="M10" s="10"/>
      <c r="N10" s="20" t="s">
        <v>16</v>
      </c>
      <c r="O10" s="24" t="n">
        <v>0</v>
      </c>
      <c r="P10" s="22" t="s">
        <v>15</v>
      </c>
      <c r="U10" s="23" t="n">
        <f aca="false">P11/(U6-U8)</f>
        <v>0.00480997316541423</v>
      </c>
      <c r="Y10" s="10"/>
    </row>
    <row r="11" customFormat="false" ht="17.25" hidden="false" customHeight="false" outlineLevel="0" collapsed="false">
      <c r="C11" s="25" t="s">
        <v>17</v>
      </c>
      <c r="D11" s="26" t="n">
        <v>5.0132979683045</v>
      </c>
      <c r="E11" s="27" t="n">
        <f aca="false">SUM(G21:G57)</f>
        <v>0.0432897590584573</v>
      </c>
      <c r="H11" s="28"/>
      <c r="M11" s="10"/>
      <c r="N11" s="25" t="s">
        <v>17</v>
      </c>
      <c r="O11" s="26" t="n">
        <v>5.01329916291697</v>
      </c>
      <c r="P11" s="27" t="n">
        <f aca="false">SUM(R21:R57)</f>
        <v>0.0432897584887281</v>
      </c>
      <c r="U11" s="28"/>
      <c r="Y11" s="10"/>
    </row>
    <row r="12" customFormat="false" ht="17.25" hidden="false" customHeight="false" outlineLevel="0" collapsed="false">
      <c r="C12" s="25" t="s">
        <v>18</v>
      </c>
      <c r="D12" s="26" t="n">
        <v>0.367828320766276</v>
      </c>
      <c r="E12" s="22" t="s">
        <v>19</v>
      </c>
      <c r="H12" s="19" t="s">
        <v>20</v>
      </c>
      <c r="J12" s="9" t="s">
        <v>21</v>
      </c>
      <c r="M12" s="10"/>
      <c r="N12" s="25" t="s">
        <v>22</v>
      </c>
      <c r="O12" s="26" t="n">
        <v>0.367828413797596</v>
      </c>
      <c r="P12" s="22" t="s">
        <v>19</v>
      </c>
      <c r="U12" s="19" t="s">
        <v>20</v>
      </c>
      <c r="W12" s="9" t="s">
        <v>21</v>
      </c>
      <c r="Y12" s="10"/>
    </row>
    <row r="13" customFormat="false" ht="17.25" hidden="false" customHeight="false" outlineLevel="0" collapsed="false">
      <c r="C13" s="29" t="s">
        <v>23</v>
      </c>
      <c r="D13" s="30" t="n">
        <v>8.31650512307437</v>
      </c>
      <c r="E13" s="31" t="n">
        <f aca="false">SQRT(E11/(COUNT(G21:G57)-H8))</f>
        <v>0.0735609942993375</v>
      </c>
      <c r="H13" s="23" t="n">
        <f aca="false">1-E11/J13</f>
        <v>0.99750432206713</v>
      </c>
      <c r="J13" s="23" t="n">
        <f aca="false">E58</f>
        <v>17.3458916666667</v>
      </c>
      <c r="M13" s="10"/>
      <c r="N13" s="29" t="s">
        <v>23</v>
      </c>
      <c r="O13" s="30" t="n">
        <v>8.3165143797922</v>
      </c>
      <c r="P13" s="32" t="n">
        <f aca="false">SQRT(P11/(COUNT(R21:R57)-U8))</f>
        <v>0.0693539700768041</v>
      </c>
      <c r="U13" s="23" t="n">
        <f aca="false">1-P11/W13</f>
        <v>0.997504322099975</v>
      </c>
      <c r="W13" s="23" t="n">
        <f aca="false">P58</f>
        <v>17.3458916666667</v>
      </c>
      <c r="Y13" s="10"/>
    </row>
    <row r="14" customFormat="false" ht="15.75" hidden="false" customHeight="false" outlineLevel="0" collapsed="false">
      <c r="C14" s="16" t="s">
        <v>24</v>
      </c>
      <c r="F14" s="33"/>
      <c r="G14" s="34"/>
      <c r="H14" s="19" t="s">
        <v>25</v>
      </c>
      <c r="M14" s="10"/>
      <c r="N14" s="16"/>
      <c r="U14" s="19" t="s">
        <v>25</v>
      </c>
      <c r="Y14" s="10"/>
    </row>
    <row r="15" customFormat="false" ht="15.75" hidden="false" customHeight="false" outlineLevel="0" collapsed="false">
      <c r="C15" s="16"/>
      <c r="F15" s="33"/>
      <c r="G15" s="34"/>
      <c r="H15" s="23" t="n">
        <f aca="false">(((H6-1)*H13)-(H8+1))/(H6-H8)</f>
        <v>0.746568442842303</v>
      </c>
      <c r="M15" s="10"/>
      <c r="N15" s="16"/>
      <c r="U15" s="23" t="n">
        <f aca="false">(((U6-1)*U13)-(U8+1))/(U6-U8)</f>
        <v>0.774727504788858</v>
      </c>
      <c r="Y15" s="10"/>
    </row>
    <row r="16" customFormat="false" ht="15.75" hidden="false" customHeight="false" outlineLevel="0" collapsed="false">
      <c r="C16" s="16"/>
      <c r="F16" s="33"/>
      <c r="G16" s="34"/>
      <c r="I16" s="35" t="s">
        <v>26</v>
      </c>
      <c r="J16" s="36"/>
      <c r="M16" s="10"/>
      <c r="N16" s="16"/>
      <c r="V16" s="35" t="s">
        <v>26</v>
      </c>
      <c r="W16" s="36"/>
      <c r="Y16" s="10"/>
    </row>
    <row r="17" customFormat="false" ht="15.75" hidden="false" customHeight="false" outlineLevel="0" collapsed="false">
      <c r="C17" s="16"/>
      <c r="F17" s="33"/>
      <c r="G17" s="34"/>
      <c r="I17" s="23" t="n">
        <f aca="false">1-(1-H13)*((H6-1)/(H6-(H8-1)-1))</f>
        <v>0.996568442842304</v>
      </c>
      <c r="M17" s="10"/>
      <c r="N17" s="16"/>
      <c r="V17" s="23" t="n">
        <f aca="false">1-(1-U13)*((U6-1)/(U6-(U8-1)-1))</f>
        <v>0.996949727011081</v>
      </c>
      <c r="Y17" s="10"/>
    </row>
    <row r="18" customFormat="false" ht="15" hidden="false" customHeight="false" outlineLevel="0" collapsed="false">
      <c r="C18" s="16"/>
      <c r="F18" s="33"/>
      <c r="G18" s="34"/>
      <c r="H18" s="17"/>
      <c r="I18" s="8"/>
      <c r="M18" s="10"/>
      <c r="N18" s="16"/>
      <c r="Y18" s="10"/>
    </row>
    <row r="19" customFormat="false" ht="15" hidden="false" customHeight="false" outlineLevel="0" collapsed="false">
      <c r="C19" s="18" t="s">
        <v>27</v>
      </c>
      <c r="F19" s="37" t="s">
        <v>28</v>
      </c>
      <c r="I19" s="37" t="s">
        <v>29</v>
      </c>
      <c r="M19" s="10"/>
      <c r="N19" s="18" t="s">
        <v>27</v>
      </c>
      <c r="Q19" s="37" t="s">
        <v>28</v>
      </c>
      <c r="T19" s="37" t="s">
        <v>29</v>
      </c>
      <c r="Y19" s="10"/>
    </row>
    <row r="20" customFormat="false" ht="15" hidden="false" customHeight="false" outlineLevel="0" collapsed="false">
      <c r="A20" s="0" t="s">
        <v>30</v>
      </c>
      <c r="B20" s="0" t="s">
        <v>31</v>
      </c>
      <c r="C20" s="38" t="s">
        <v>32</v>
      </c>
      <c r="D20" s="39" t="s">
        <v>33</v>
      </c>
      <c r="E20" s="40" t="s">
        <v>34</v>
      </c>
      <c r="F20" s="40" t="s">
        <v>33</v>
      </c>
      <c r="G20" s="40" t="s">
        <v>35</v>
      </c>
      <c r="M20" s="10"/>
      <c r="N20" s="41" t="s">
        <v>36</v>
      </c>
      <c r="O20" s="39" t="s">
        <v>33</v>
      </c>
      <c r="P20" s="40" t="s">
        <v>34</v>
      </c>
      <c r="Q20" s="40" t="s">
        <v>33</v>
      </c>
      <c r="R20" s="40" t="s">
        <v>35</v>
      </c>
      <c r="Y20" s="10"/>
      <c r="Z20" s="42" t="n">
        <v>1</v>
      </c>
      <c r="AA20" s="42" t="n">
        <v>5.27875360095283</v>
      </c>
    </row>
    <row r="21" customFormat="false" ht="15" hidden="false" customHeight="false" outlineLevel="0" collapsed="false">
      <c r="A21" s="0" t="n">
        <f aca="false">B21/D21</f>
        <v>0</v>
      </c>
      <c r="B21" s="0" t="n">
        <v>0</v>
      </c>
      <c r="C21" s="43" t="n">
        <v>1</v>
      </c>
      <c r="D21" s="44" t="n">
        <v>5.16</v>
      </c>
      <c r="E21" s="45" t="n">
        <f aca="false">(D21-AVERAGE(D$21:D$57))^2</f>
        <v>4.74876736111111</v>
      </c>
      <c r="F21" s="46" t="n">
        <f aca="false">IF(C21&lt;$D$10,$D$11,LOG((10^$D$13)/(1+((10^$D$13/10^$D$11)-1)*EXP(-$D$12*(C21-$D$10)))))</f>
        <v>5.17294772932501</v>
      </c>
      <c r="G21" s="28" t="n">
        <f aca="false">(D21-F21)^2</f>
        <v>0.000167643694673718</v>
      </c>
      <c r="M21" s="10"/>
      <c r="N21" s="43" t="n">
        <v>1</v>
      </c>
      <c r="O21" s="44" t="n">
        <v>5.16</v>
      </c>
      <c r="P21" s="45" t="n">
        <f aca="false">(O21-AVERAGE(O$21:O$57))^2</f>
        <v>4.74876736111111</v>
      </c>
      <c r="Q21" s="46" t="n">
        <f aca="false">IF(N21&lt;O$10,O$11,LOG((10^O$13)/(1+((10^O$13/10^O$11)-1)*EXP(-O$12*(N21-O$10)))))</f>
        <v>5.17294896609425</v>
      </c>
      <c r="R21" s="28" t="n">
        <f aca="false">(O21-Q21)^2</f>
        <v>0.000167675722909982</v>
      </c>
      <c r="Y21" s="10"/>
      <c r="Z21" s="42" t="n">
        <v>3.00000000005821</v>
      </c>
      <c r="AA21" s="47"/>
    </row>
    <row r="22" customFormat="false" ht="15" hidden="false" customHeight="false" outlineLevel="0" collapsed="false">
      <c r="A22" s="0" t="n">
        <f aca="false">B22/D22</f>
        <v>0</v>
      </c>
      <c r="B22" s="0" t="n">
        <v>0</v>
      </c>
      <c r="C22" s="43" t="n">
        <v>3</v>
      </c>
      <c r="D22" s="44" t="n">
        <v>5.45</v>
      </c>
      <c r="E22" s="45" t="n">
        <f aca="false">(D22-AVERAGE(D$21:D$57))^2</f>
        <v>3.56895069444444</v>
      </c>
      <c r="F22" s="46" t="n">
        <f aca="false">IF(C22&lt;$D$10,$D$11,LOG((10^$D$13)/(1+((10^$D$13/10^$D$11)-1)*EXP(-$D$12*(C22-$D$10)))))</f>
        <v>5.49210032742311</v>
      </c>
      <c r="G22" s="28" t="n">
        <f aca="false">(D22-F22)^2</f>
        <v>0.00177243756913273</v>
      </c>
      <c r="M22" s="10"/>
      <c r="N22" s="43" t="n">
        <v>3</v>
      </c>
      <c r="O22" s="44" t="n">
        <v>5.45</v>
      </c>
      <c r="P22" s="45" t="n">
        <f aca="false">(O22-AVERAGE(O$21:O$57))^2</f>
        <v>3.56895069444444</v>
      </c>
      <c r="Q22" s="46" t="n">
        <f aca="false">IF(N22&lt;O$10,O$11,LOG((10^O$13)/(1+((10^O$13/10^O$11)-1)*EXP(-O$12*(N22-O$10)))))</f>
        <v>5.49210165113534</v>
      </c>
      <c r="R22" s="28" t="n">
        <f aca="false">(O22-Q22)^2</f>
        <v>0.00177254902832173</v>
      </c>
      <c r="Y22" s="10"/>
      <c r="Z22" s="42" t="n">
        <v>6.00000000005821</v>
      </c>
      <c r="AA22" s="47"/>
    </row>
    <row r="23" customFormat="false" ht="15" hidden="false" customHeight="false" outlineLevel="0" collapsed="false">
      <c r="A23" s="0" t="n">
        <f aca="false">B23/D23</f>
        <v>0</v>
      </c>
      <c r="B23" s="0" t="n">
        <v>0</v>
      </c>
      <c r="C23" s="43" t="n">
        <v>6</v>
      </c>
      <c r="D23" s="44" t="n">
        <v>6.06</v>
      </c>
      <c r="E23" s="45" t="n">
        <f aca="false">(D23-AVERAGE(D$21:D$57))^2</f>
        <v>1.63626736111111</v>
      </c>
      <c r="F23" s="46" t="n">
        <f aca="false">IF(C23&lt;$D$10,$D$11,LOG((10^$D$13)/(1+((10^$D$13/10^$D$11)-1)*EXP(-$D$12*(C23-$D$10)))))</f>
        <v>5.97002880072235</v>
      </c>
      <c r="G23" s="28" t="n">
        <f aca="false">(D23-F23)^2</f>
        <v>0.00809481669945904</v>
      </c>
      <c r="M23" s="10"/>
      <c r="N23" s="43" t="n">
        <v>6</v>
      </c>
      <c r="O23" s="44" t="n">
        <v>6.06</v>
      </c>
      <c r="P23" s="45" t="n">
        <f aca="false">(O23-AVERAGE(O$21:O$57))^2</f>
        <v>1.63626736111111</v>
      </c>
      <c r="Q23" s="46" t="n">
        <f aca="false">IF(N23&lt;O$10,O$11,LOG((10^O$13)/(1+((10^O$13/10^O$11)-1)*EXP(-O$12*(N23-O$10)))))</f>
        <v>5.97003026897147</v>
      </c>
      <c r="R23" s="28" t="n">
        <f aca="false">(O23-Q23)^2</f>
        <v>0.00809455250134685</v>
      </c>
      <c r="Y23" s="10"/>
      <c r="Z23" s="42" t="n">
        <v>9.00000000005821</v>
      </c>
      <c r="AA23" s="47"/>
    </row>
    <row r="24" customFormat="false" ht="15" hidden="false" customHeight="false" outlineLevel="0" collapsed="false">
      <c r="A24" s="0" t="n">
        <f aca="false">B24/D24</f>
        <v>0</v>
      </c>
      <c r="B24" s="0" t="n">
        <v>0</v>
      </c>
      <c r="C24" s="43" t="n">
        <v>9</v>
      </c>
      <c r="D24" s="44" t="n">
        <v>6.47</v>
      </c>
      <c r="E24" s="45" t="n">
        <f aca="false">(D24-AVERAGE(D$21:D$57))^2</f>
        <v>0.755450694444444</v>
      </c>
      <c r="F24" s="46" t="n">
        <f aca="false">IF(C24&lt;$D$10,$D$11,LOG((10^$D$13)/(1+((10^$D$13/10^$D$11)-1)*EXP(-$D$12*(C24-$D$10)))))</f>
        <v>6.44534388612362</v>
      </c>
      <c r="G24" s="28" t="n">
        <f aca="false">(D24-F24)^2</f>
        <v>0.000607923951484783</v>
      </c>
      <c r="M24" s="10"/>
      <c r="N24" s="43" t="n">
        <v>9</v>
      </c>
      <c r="O24" s="44" t="n">
        <v>6.47</v>
      </c>
      <c r="P24" s="45" t="n">
        <f aca="false">(O24-AVERAGE(O$21:O$57))^2</f>
        <v>0.755450694444444</v>
      </c>
      <c r="Q24" s="46" t="n">
        <f aca="false">IF(N24&lt;O$10,O$11,LOG((10^O$13)/(1+((10^O$13/10^O$11)-1)*EXP(-O$12*(N24-O$10)))))</f>
        <v>6.44534554397553</v>
      </c>
      <c r="R24" s="28" t="n">
        <f aca="false">(O24-Q24)^2</f>
        <v>0.00060784220186251</v>
      </c>
      <c r="Y24" s="10"/>
      <c r="Z24" s="42" t="n">
        <v>12.1666666667443</v>
      </c>
      <c r="AA24" s="42" t="n">
        <v>6.94448267215017</v>
      </c>
    </row>
    <row r="25" customFormat="false" ht="15" hidden="false" customHeight="false" outlineLevel="0" collapsed="false">
      <c r="A25" s="0" t="n">
        <f aca="false">B25/D25</f>
        <v>0</v>
      </c>
      <c r="B25" s="0" t="n">
        <v>0</v>
      </c>
      <c r="C25" s="43" t="n">
        <v>12.17</v>
      </c>
      <c r="D25" s="44" t="n">
        <v>6.87</v>
      </c>
      <c r="E25" s="45" t="n">
        <f aca="false">(D25-AVERAGE(D$21:D$57))^2</f>
        <v>0.220117361111111</v>
      </c>
      <c r="F25" s="46" t="n">
        <f aca="false">IF(C25&lt;$D$10,$D$11,LOG((10^$D$13)/(1+((10^$D$13/10^$D$11)-1)*EXP(-$D$12*(C25-$D$10)))))</f>
        <v>6.93901834201704</v>
      </c>
      <c r="G25" s="28" t="n">
        <f aca="false">(D25-F25)^2</f>
        <v>0.00476353153478041</v>
      </c>
      <c r="M25" s="10"/>
      <c r="N25" s="43" t="n">
        <v>12.17</v>
      </c>
      <c r="O25" s="44" t="n">
        <v>6.87</v>
      </c>
      <c r="P25" s="45" t="n">
        <f aca="false">(O25-AVERAGE(O$21:O$57))^2</f>
        <v>0.220117361111111</v>
      </c>
      <c r="Q25" s="46" t="n">
        <f aca="false">IF(N25&lt;O$10,O$11,LOG((10^O$13)/(1+((10^O$13/10^O$11)-1)*EXP(-O$12*(N25-O$10)))))</f>
        <v>6.93902034190503</v>
      </c>
      <c r="R25" s="28" t="n">
        <f aca="false">(O25-Q25)^2</f>
        <v>0.00476380759668708</v>
      </c>
      <c r="Y25" s="10"/>
      <c r="Z25" s="42" t="n">
        <v>24.1666666667443</v>
      </c>
      <c r="AA25" s="42"/>
    </row>
    <row r="26" customFormat="false" ht="15" hidden="false" customHeight="false" outlineLevel="0" collapsed="false">
      <c r="A26" s="0" t="e">
        <f aca="false">B26/#REF!</f>
        <v>#REF!</v>
      </c>
      <c r="B26" s="0" t="n">
        <v>2.25579422279125</v>
      </c>
      <c r="C26" s="43" t="n">
        <v>24.17</v>
      </c>
      <c r="D26" s="44" t="n">
        <v>8.23</v>
      </c>
      <c r="E26" s="45" t="n">
        <f aca="false">(D26-AVERAGE(D$21:D$57))^2</f>
        <v>0.793584027777779</v>
      </c>
      <c r="F26" s="46" t="n">
        <f aca="false">IF(C26&lt;$D$10,$D$11,LOG((10^$D$13)/(1+((10^$D$13/10^$D$11)-1)*EXP(-$D$12*(C26-$D$10)))))</f>
        <v>8.21043237691351</v>
      </c>
      <c r="G26" s="28" t="n">
        <f aca="false">(D26-F26)^2</f>
        <v>0.000382891873255122</v>
      </c>
      <c r="M26" s="10"/>
      <c r="N26" s="43" t="n">
        <v>24.17</v>
      </c>
      <c r="O26" s="44" t="n">
        <v>8.23</v>
      </c>
      <c r="P26" s="45" t="n">
        <f aca="false">(O26-AVERAGE(O$21:O$57))^2</f>
        <v>0.793584027777779</v>
      </c>
      <c r="Q26" s="46" t="n">
        <f aca="false">IF(N26&lt;O$10,O$11,LOG((10^O$13)/(1+((10^O$13/10^O$11)-1)*EXP(-O$12*(N26-O$10)))))</f>
        <v>8.21044009729881</v>
      </c>
      <c r="R26" s="28" t="n">
        <f aca="false">(O26-Q26)^2</f>
        <v>0.000382589793680207</v>
      </c>
      <c r="Y26" s="10"/>
      <c r="Z26" s="42" t="n">
        <v>27.0833333333139</v>
      </c>
      <c r="AA26" s="47"/>
    </row>
    <row r="27" customFormat="false" ht="15" hidden="false" customHeight="false" outlineLevel="0" collapsed="false">
      <c r="A27" s="0" t="e">
        <f aca="false">B27/#REF!</f>
        <v>#REF!</v>
      </c>
      <c r="B27" s="0" t="n">
        <v>0.311093742376794</v>
      </c>
      <c r="C27" s="43" t="n">
        <v>27.08</v>
      </c>
      <c r="D27" s="44" t="n">
        <v>8.31</v>
      </c>
      <c r="E27" s="45" t="n">
        <f aca="false">(D27-AVERAGE(D$21:D$57))^2</f>
        <v>0.942517361111113</v>
      </c>
      <c r="F27" s="46" t="n">
        <f aca="false">IF(C27&lt;$D$10,$D$11,LOG((10^$D$13)/(1+((10^$D$13/10^$D$11)-1)*EXP(-$D$12*(C27-$D$10)))))</f>
        <v>8.27714728012529</v>
      </c>
      <c r="G27" s="28" t="n">
        <f aca="false">(D27-F27)^2</f>
        <v>0.00107930120316612</v>
      </c>
      <c r="M27" s="10"/>
      <c r="N27" s="43" t="n">
        <v>27.08</v>
      </c>
      <c r="O27" s="44" t="n">
        <v>8.31</v>
      </c>
      <c r="P27" s="45" t="n">
        <f aca="false">(O27-AVERAGE(O$21:O$57))^2</f>
        <v>0.942517361111113</v>
      </c>
      <c r="Q27" s="46" t="n">
        <f aca="false">IF(N27&lt;O$10,O$11,LOG((10^O$13)/(1+((10^O$13/10^O$11)-1)*EXP(-O$12*(N27-O$10)))))</f>
        <v>8.27715593278663</v>
      </c>
      <c r="R27" s="28" t="n">
        <f aca="false">(O27-Q27)^2</f>
        <v>0.00107873275111612</v>
      </c>
      <c r="Y27" s="10"/>
      <c r="Z27" s="42" t="n">
        <v>30.0833333333139</v>
      </c>
      <c r="AA27" s="47"/>
    </row>
    <row r="28" customFormat="false" ht="15" hidden="false" customHeight="false" outlineLevel="0" collapsed="false">
      <c r="A28" s="0" t="e">
        <f aca="false">B28/#REF!</f>
        <v>#REF!</v>
      </c>
      <c r="B28" s="0" t="n">
        <v>2.3684216637419</v>
      </c>
      <c r="C28" s="43" t="n">
        <v>30.08</v>
      </c>
      <c r="D28" s="44" t="n">
        <v>8.28</v>
      </c>
      <c r="E28" s="45" t="n">
        <f aca="false">(D28-AVERAGE(D$21:D$57))^2</f>
        <v>0.88516736111111</v>
      </c>
      <c r="F28" s="46" t="n">
        <f aca="false">IF(C28&lt;$D$10,$D$11,LOG((10^$D$13)/(1+((10^$D$13/10^$D$11)-1)*EXP(-$D$12*(C28-$D$10)))))</f>
        <v>8.30305034224853</v>
      </c>
      <c r="G28" s="28" t="n">
        <f aca="false">(D28-F28)^2</f>
        <v>0.000531318277774182</v>
      </c>
      <c r="M28" s="10"/>
      <c r="N28" s="43" t="n">
        <v>30.08</v>
      </c>
      <c r="O28" s="44" t="n">
        <v>8.28</v>
      </c>
      <c r="P28" s="45" t="n">
        <f aca="false">(O28-AVERAGE(O$21:O$57))^2</f>
        <v>0.88516736111111</v>
      </c>
      <c r="Q28" s="46" t="n">
        <f aca="false">IF(N28&lt;O$10,O$11,LOG((10^O$13)/(1+((10^O$13/10^O$11)-1)*EXP(-O$12*(N28-O$10)))))</f>
        <v>8.30305938997579</v>
      </c>
      <c r="R28" s="28" t="n">
        <f aca="false">(O28-Q28)^2</f>
        <v>0.000531735466055741</v>
      </c>
      <c r="Y28" s="10"/>
      <c r="Z28" s="42" t="n">
        <v>33.0833333333139</v>
      </c>
      <c r="AA28" s="47"/>
    </row>
    <row r="29" customFormat="false" ht="15" hidden="false" customHeight="false" outlineLevel="0" collapsed="false">
      <c r="A29" s="0" t="n">
        <f aca="false">B29/D26</f>
        <v>0.389047961941272</v>
      </c>
      <c r="B29" s="0" t="n">
        <v>3.20186472677666</v>
      </c>
      <c r="C29" s="43" t="n">
        <v>33.08</v>
      </c>
      <c r="D29" s="44" t="n">
        <v>8.36</v>
      </c>
      <c r="E29" s="45" t="n">
        <f aca="false">(D29-AVERAGE(D$21:D$57))^2</f>
        <v>1.04210069444444</v>
      </c>
      <c r="F29" s="46" t="n">
        <f aca="false">IF(C29&lt;$D$10,$D$11,LOG((10^$D$13)/(1+((10^$D$13/10^$D$11)-1)*EXP(-$D$12*(C29-$D$10)))))</f>
        <v>8.31199563480942</v>
      </c>
      <c r="G29" s="28" t="n">
        <f aca="false">(D29-F29)^2</f>
        <v>0.00230441907735097</v>
      </c>
      <c r="M29" s="10"/>
      <c r="N29" s="43" t="n">
        <v>33.08</v>
      </c>
      <c r="O29" s="44" t="n">
        <v>8.36</v>
      </c>
      <c r="P29" s="45" t="n">
        <f aca="false">(O29-AVERAGE(O$21:O$57))^2</f>
        <v>1.04210069444444</v>
      </c>
      <c r="Q29" s="46" t="n">
        <f aca="false">IF(N29&lt;O$10,O$11,LOG((10^O$13)/(1+((10^O$13/10^O$11)-1)*EXP(-O$12*(N29-O$10)))))</f>
        <v>8.3120048220117</v>
      </c>
      <c r="R29" s="28" t="n">
        <f aca="false">(O29-Q29)^2</f>
        <v>0.00230353711012859</v>
      </c>
      <c r="Y29" s="10"/>
      <c r="Z29" s="42" t="n">
        <v>35.8333333333721</v>
      </c>
      <c r="AA29" s="42" t="n">
        <v>8.22010808804006</v>
      </c>
    </row>
    <row r="30" customFormat="false" ht="15" hidden="false" customHeight="false" outlineLevel="0" collapsed="false">
      <c r="A30" s="0" t="n">
        <f aca="false">B30/D27</f>
        <v>0.431835412038573</v>
      </c>
      <c r="B30" s="0" t="n">
        <v>3.58855227404054</v>
      </c>
      <c r="C30" s="43" t="n">
        <v>35.83</v>
      </c>
      <c r="D30" s="44" t="n">
        <v>8.41</v>
      </c>
      <c r="E30" s="45" t="n">
        <f aca="false">(D30-AVERAGE(D$21:D$57))^2</f>
        <v>1.14668402777778</v>
      </c>
      <c r="F30" s="46" t="n">
        <f aca="false">IF(C30&lt;$D$10,$D$11,LOG((10^$D$13)/(1+((10^$D$13/10^$D$11)-1)*EXP(-$D$12*(C30-$D$10)))))</f>
        <v>8.31485976646268</v>
      </c>
      <c r="G30" s="28" t="n">
        <f aca="false">(D30-F30)^2</f>
        <v>0.00905166403753645</v>
      </c>
      <c r="M30" s="10"/>
      <c r="N30" s="43" t="n">
        <v>35.83</v>
      </c>
      <c r="O30" s="44" t="n">
        <v>8.41</v>
      </c>
      <c r="P30" s="45" t="n">
        <f aca="false">(O30-AVERAGE(O$21:O$57))^2</f>
        <v>1.14668402777778</v>
      </c>
      <c r="Q30" s="46" t="n">
        <f aca="false">IF(N30&lt;O$10,O$11,LOG((10^O$13)/(1+((10^O$13/10^O$11)-1)*EXP(-O$12*(N30-O$10)))))</f>
        <v>8.31486899815316</v>
      </c>
      <c r="R30" s="28" t="n">
        <f aca="false">(O30-Q30)^2</f>
        <v>0.00904990751238404</v>
      </c>
      <c r="Y30" s="10"/>
      <c r="Z30" s="42" t="n">
        <v>48.25</v>
      </c>
      <c r="AA30" s="42" t="n">
        <v>8.35793484700045</v>
      </c>
    </row>
    <row r="31" customFormat="false" ht="15" hidden="false" customHeight="false" outlineLevel="0" collapsed="false">
      <c r="A31" s="0" t="n">
        <f aca="false">B31/D28</f>
        <v>0.466499079752872</v>
      </c>
      <c r="B31" s="0" t="n">
        <v>3.86261238035378</v>
      </c>
      <c r="C31" s="43" t="n">
        <v>48.25</v>
      </c>
      <c r="D31" s="44" t="n">
        <v>8.26</v>
      </c>
      <c r="E31" s="45" t="n">
        <f aca="false">(D31-AVERAGE(D$21:D$57))^2</f>
        <v>0.847934027777778</v>
      </c>
      <c r="F31" s="46" t="n">
        <f aca="false">IF(C31&lt;$D$10,$D$11,LOG((10^$D$13)/(1+((10^$D$13/10^$D$11)-1)*EXP(-$D$12*(C31-$D$10)))))</f>
        <v>8.31648802168214</v>
      </c>
      <c r="G31" s="28" t="n">
        <f aca="false">(D31-F31)^2</f>
        <v>0.00319089659356196</v>
      </c>
      <c r="M31" s="10"/>
      <c r="N31" s="43" t="n">
        <v>48.25</v>
      </c>
      <c r="O31" s="44" t="n">
        <v>8.26</v>
      </c>
      <c r="P31" s="45" t="n">
        <f aca="false">(O31-AVERAGE(O$21:O$57))^2</f>
        <v>0.847934027777778</v>
      </c>
      <c r="Q31" s="46" t="n">
        <f aca="false">IF(N31&lt;O$10,O$11,LOG((10^O$13)/(1+((10^O$13/10^O$11)-1)*EXP(-O$12*(N31-O$10)))))</f>
        <v>8.31649727815911</v>
      </c>
      <c r="R31" s="28" t="n">
        <f aca="false">(O31-Q31)^2</f>
        <v>0.00319194243938807</v>
      </c>
      <c r="Y31" s="10"/>
      <c r="Z31" s="42" t="n">
        <v>54.0833333333139</v>
      </c>
      <c r="AA31" s="42" t="n">
        <v>8.40483371661994</v>
      </c>
    </row>
    <row r="32" customFormat="false" ht="15" hidden="false" customHeight="false" outlineLevel="0" collapsed="false">
      <c r="C32" s="43" t="n">
        <v>54.08</v>
      </c>
      <c r="D32" s="44" t="n">
        <v>8.21</v>
      </c>
      <c r="E32" s="45" t="n">
        <f aca="false">(D32-AVERAGE(D$21:D$57))^2</f>
        <v>0.758350694444446</v>
      </c>
      <c r="F32" s="46" t="n">
        <f aca="false">IF(C32&lt;$D$10,$D$11,LOG((10^$D$13)/(1+((10^$D$13/10^$D$11)-1)*EXP(-$D$12*(C32-$D$10)))))</f>
        <v>8.3165031198899</v>
      </c>
      <c r="G32" s="28" t="n">
        <f aca="false">(D32-F32)^2</f>
        <v>0.0113429145462818</v>
      </c>
      <c r="M32" s="10"/>
      <c r="N32" s="43" t="n">
        <v>54.08</v>
      </c>
      <c r="O32" s="44" t="n">
        <v>8.21</v>
      </c>
      <c r="P32" s="45" t="n">
        <f aca="false">(O32-AVERAGE(O$21:O$57))^2</f>
        <v>0.758350694444446</v>
      </c>
      <c r="Q32" s="46" t="n">
        <f aca="false">IF(N32&lt;O$10,O$11,LOG((10^O$13)/(1+((10^O$13/10^O$11)-1)*EXP(-O$12*(N32-O$10)))))</f>
        <v>8.3165123765806</v>
      </c>
      <c r="R32" s="28" t="n">
        <f aca="false">(O32-Q32)^2</f>
        <v>0.0113448863648472</v>
      </c>
      <c r="Y32" s="10"/>
    </row>
    <row r="33" customFormat="false" ht="15" hidden="false" customHeight="false" outlineLevel="0" collapsed="false">
      <c r="C33" s="43"/>
      <c r="E33" s="45"/>
      <c r="F33" s="46"/>
      <c r="G33" s="28"/>
      <c r="M33" s="10"/>
      <c r="N33" s="43"/>
      <c r="O33" s="48"/>
      <c r="P33" s="45"/>
      <c r="Q33" s="46"/>
      <c r="R33" s="28"/>
      <c r="Y33" s="10"/>
    </row>
    <row r="34" customFormat="false" ht="15" hidden="false" customHeight="false" outlineLevel="0" collapsed="false">
      <c r="C34" s="43"/>
      <c r="D34" s="45"/>
      <c r="E34" s="45"/>
      <c r="F34" s="46"/>
      <c r="G34" s="28"/>
      <c r="M34" s="10"/>
      <c r="N34" s="43"/>
      <c r="O34" s="48"/>
      <c r="P34" s="45"/>
      <c r="Q34" s="46"/>
      <c r="R34" s="28"/>
      <c r="Y34" s="10"/>
    </row>
    <row r="35" customFormat="false" ht="15" hidden="false" customHeight="false" outlineLevel="0" collapsed="false">
      <c r="C35" s="43"/>
      <c r="E35" s="45"/>
      <c r="F35" s="46"/>
      <c r="G35" s="28"/>
      <c r="M35" s="10"/>
      <c r="N35" s="43"/>
      <c r="O35" s="48"/>
      <c r="P35" s="45"/>
      <c r="Q35" s="46"/>
      <c r="R35" s="28"/>
      <c r="Y35" s="10"/>
    </row>
    <row r="36" customFormat="false" ht="15" hidden="false" customHeight="false" outlineLevel="0" collapsed="false">
      <c r="C36" s="43"/>
      <c r="E36" s="45"/>
      <c r="F36" s="46"/>
      <c r="G36" s="28"/>
      <c r="M36" s="10"/>
      <c r="N36" s="43"/>
      <c r="O36" s="48"/>
      <c r="P36" s="45"/>
      <c r="Q36" s="46"/>
      <c r="R36" s="28"/>
      <c r="Y36" s="10"/>
    </row>
    <row r="37" customFormat="false" ht="15" hidden="false" customHeight="false" outlineLevel="0" collapsed="false">
      <c r="C37" s="43"/>
      <c r="D37" s="48"/>
      <c r="E37" s="45"/>
      <c r="F37" s="46"/>
      <c r="G37" s="28"/>
      <c r="M37" s="10"/>
      <c r="N37" s="43"/>
      <c r="O37" s="48"/>
      <c r="P37" s="45"/>
      <c r="Q37" s="46"/>
      <c r="R37" s="28"/>
      <c r="Y37" s="10"/>
    </row>
    <row r="38" customFormat="false" ht="15" hidden="false" customHeight="false" outlineLevel="0" collapsed="false">
      <c r="C38" s="43"/>
      <c r="D38" s="48"/>
      <c r="E38" s="45"/>
      <c r="F38" s="46"/>
      <c r="G38" s="28"/>
      <c r="M38" s="10"/>
      <c r="N38" s="43"/>
      <c r="O38" s="48"/>
      <c r="P38" s="45"/>
      <c r="Q38" s="46"/>
      <c r="R38" s="28"/>
      <c r="Y38" s="10"/>
    </row>
    <row r="39" customFormat="false" ht="15" hidden="false" customHeight="false" outlineLevel="0" collapsed="false">
      <c r="C39" s="43"/>
      <c r="D39" s="48"/>
      <c r="E39" s="45"/>
      <c r="F39" s="46"/>
      <c r="G39" s="28"/>
      <c r="M39" s="10"/>
      <c r="N39" s="43"/>
      <c r="O39" s="48"/>
      <c r="P39" s="45"/>
      <c r="Q39" s="46"/>
      <c r="R39" s="28"/>
      <c r="Y39" s="10"/>
    </row>
    <row r="40" customFormat="false" ht="15" hidden="false" customHeight="false" outlineLevel="0" collapsed="false">
      <c r="C40" s="43"/>
      <c r="D40" s="48"/>
      <c r="E40" s="45"/>
      <c r="F40" s="46"/>
      <c r="G40" s="28"/>
      <c r="M40" s="10"/>
      <c r="N40" s="43"/>
      <c r="O40" s="48"/>
      <c r="P40" s="45"/>
      <c r="Q40" s="46"/>
      <c r="R40" s="28"/>
      <c r="Y40" s="10"/>
    </row>
    <row r="41" customFormat="false" ht="15" hidden="false" customHeight="false" outlineLevel="0" collapsed="false">
      <c r="C41" s="43"/>
      <c r="D41" s="48"/>
      <c r="E41" s="45"/>
      <c r="F41" s="46"/>
      <c r="G41" s="28"/>
      <c r="M41" s="10"/>
      <c r="N41" s="43"/>
      <c r="O41" s="48"/>
      <c r="P41" s="45"/>
      <c r="Q41" s="46"/>
      <c r="R41" s="28"/>
      <c r="Y41" s="10"/>
    </row>
    <row r="42" customFormat="false" ht="15" hidden="false" customHeight="false" outlineLevel="0" collapsed="false">
      <c r="C42" s="43"/>
      <c r="D42" s="48"/>
      <c r="E42" s="45"/>
      <c r="F42" s="46"/>
      <c r="G42" s="28"/>
      <c r="M42" s="10"/>
      <c r="N42" s="43"/>
      <c r="O42" s="48"/>
      <c r="P42" s="45"/>
      <c r="Q42" s="46"/>
      <c r="R42" s="28"/>
      <c r="Y42" s="10"/>
    </row>
    <row r="43" customFormat="false" ht="15" hidden="false" customHeight="false" outlineLevel="0" collapsed="false">
      <c r="C43" s="43"/>
      <c r="D43" s="48"/>
      <c r="E43" s="45"/>
      <c r="F43" s="46"/>
      <c r="G43" s="28"/>
      <c r="M43" s="10"/>
      <c r="N43" s="43"/>
      <c r="O43" s="48"/>
      <c r="P43" s="45"/>
      <c r="Q43" s="46"/>
      <c r="R43" s="28"/>
      <c r="Y43" s="10"/>
    </row>
    <row r="44" customFormat="false" ht="15" hidden="false" customHeight="false" outlineLevel="0" collapsed="false">
      <c r="C44" s="43"/>
      <c r="D44" s="48"/>
      <c r="E44" s="45"/>
      <c r="F44" s="46"/>
      <c r="G44" s="28"/>
      <c r="M44" s="10"/>
      <c r="N44" s="43"/>
      <c r="O44" s="48"/>
      <c r="P44" s="45"/>
      <c r="Q44" s="46"/>
      <c r="R44" s="28"/>
      <c r="Y44" s="10"/>
    </row>
    <row r="45" customFormat="false" ht="15" hidden="false" customHeight="false" outlineLevel="0" collapsed="false">
      <c r="C45" s="43"/>
      <c r="D45" s="48"/>
      <c r="E45" s="45"/>
      <c r="F45" s="46"/>
      <c r="G45" s="28"/>
      <c r="M45" s="10"/>
      <c r="N45" s="43"/>
      <c r="O45" s="48"/>
      <c r="P45" s="45"/>
      <c r="Q45" s="46"/>
      <c r="R45" s="28"/>
      <c r="Y45" s="10"/>
    </row>
    <row r="46" customFormat="false" ht="15" hidden="false" customHeight="false" outlineLevel="0" collapsed="false">
      <c r="C46" s="43"/>
      <c r="D46" s="48"/>
      <c r="E46" s="45"/>
      <c r="F46" s="46"/>
      <c r="G46" s="28"/>
      <c r="M46" s="10"/>
      <c r="N46" s="43"/>
      <c r="O46" s="48"/>
      <c r="P46" s="45"/>
      <c r="Q46" s="46"/>
      <c r="R46" s="28"/>
      <c r="Y46" s="10"/>
    </row>
    <row r="47" customFormat="false" ht="15" hidden="false" customHeight="false" outlineLevel="0" collapsed="false">
      <c r="C47" s="43"/>
      <c r="D47" s="48"/>
      <c r="E47" s="45"/>
      <c r="F47" s="46"/>
      <c r="G47" s="28"/>
      <c r="M47" s="10"/>
      <c r="N47" s="43"/>
      <c r="O47" s="48"/>
      <c r="P47" s="45"/>
      <c r="Q47" s="46"/>
      <c r="R47" s="28"/>
      <c r="Y47" s="10"/>
    </row>
    <row r="48" customFormat="false" ht="15" hidden="false" customHeight="false" outlineLevel="0" collapsed="false">
      <c r="C48" s="43"/>
      <c r="D48" s="48"/>
      <c r="E48" s="45"/>
      <c r="F48" s="46"/>
      <c r="G48" s="28"/>
      <c r="M48" s="10"/>
      <c r="N48" s="43"/>
      <c r="O48" s="48"/>
      <c r="P48" s="45"/>
      <c r="Q48" s="46"/>
      <c r="R48" s="28"/>
      <c r="Y48" s="10"/>
    </row>
    <row r="49" customFormat="false" ht="15" hidden="false" customHeight="false" outlineLevel="0" collapsed="false">
      <c r="C49" s="43"/>
      <c r="D49" s="48"/>
      <c r="E49" s="45"/>
      <c r="F49" s="46"/>
      <c r="G49" s="28"/>
      <c r="M49" s="10"/>
      <c r="N49" s="43"/>
      <c r="O49" s="48"/>
      <c r="P49" s="45"/>
      <c r="Q49" s="46"/>
      <c r="R49" s="28"/>
      <c r="Y49" s="10"/>
    </row>
    <row r="50" customFormat="false" ht="15" hidden="false" customHeight="false" outlineLevel="0" collapsed="false">
      <c r="C50" s="43"/>
      <c r="D50" s="48"/>
      <c r="E50" s="45"/>
      <c r="F50" s="46"/>
      <c r="G50" s="28"/>
      <c r="M50" s="10"/>
      <c r="N50" s="43"/>
      <c r="O50" s="48"/>
      <c r="P50" s="45"/>
      <c r="Q50" s="46"/>
      <c r="R50" s="28"/>
      <c r="Y50" s="10"/>
    </row>
    <row r="51" customFormat="false" ht="15" hidden="false" customHeight="false" outlineLevel="0" collapsed="false">
      <c r="C51" s="43"/>
      <c r="D51" s="48"/>
      <c r="E51" s="45"/>
      <c r="F51" s="46"/>
      <c r="G51" s="28"/>
      <c r="M51" s="10"/>
      <c r="N51" s="43"/>
      <c r="O51" s="48"/>
      <c r="P51" s="45"/>
      <c r="Q51" s="46"/>
      <c r="R51" s="28"/>
      <c r="Y51" s="10"/>
    </row>
    <row r="52" customFormat="false" ht="15" hidden="false" customHeight="false" outlineLevel="0" collapsed="false">
      <c r="C52" s="43"/>
      <c r="D52" s="48"/>
      <c r="E52" s="45"/>
      <c r="F52" s="46"/>
      <c r="G52" s="28"/>
      <c r="M52" s="10"/>
      <c r="N52" s="43"/>
      <c r="O52" s="48"/>
      <c r="P52" s="45"/>
      <c r="Q52" s="46"/>
      <c r="R52" s="28"/>
      <c r="Y52" s="10"/>
    </row>
    <row r="53" customFormat="false" ht="15" hidden="false" customHeight="false" outlineLevel="0" collapsed="false">
      <c r="C53" s="43"/>
      <c r="D53" s="48"/>
      <c r="E53" s="45"/>
      <c r="F53" s="46"/>
      <c r="G53" s="28"/>
      <c r="M53" s="10"/>
      <c r="N53" s="43"/>
      <c r="O53" s="48"/>
      <c r="P53" s="45"/>
      <c r="Q53" s="46"/>
      <c r="R53" s="28"/>
      <c r="Y53" s="10"/>
    </row>
    <row r="54" customFormat="false" ht="15" hidden="false" customHeight="false" outlineLevel="0" collapsed="false">
      <c r="C54" s="43"/>
      <c r="D54" s="48"/>
      <c r="E54" s="45"/>
      <c r="F54" s="46"/>
      <c r="G54" s="28"/>
      <c r="M54" s="10"/>
      <c r="N54" s="43"/>
      <c r="O54" s="48"/>
      <c r="P54" s="45"/>
      <c r="Q54" s="46"/>
      <c r="R54" s="28"/>
      <c r="Y54" s="10"/>
    </row>
    <row r="55" customFormat="false" ht="15" hidden="false" customHeight="false" outlineLevel="0" collapsed="false">
      <c r="C55" s="43"/>
      <c r="D55" s="48"/>
      <c r="E55" s="45"/>
      <c r="F55" s="46"/>
      <c r="G55" s="28"/>
      <c r="M55" s="10"/>
      <c r="N55" s="43"/>
      <c r="O55" s="48"/>
      <c r="P55" s="45"/>
      <c r="Q55" s="46"/>
      <c r="R55" s="28"/>
      <c r="Y55" s="10"/>
    </row>
    <row r="56" customFormat="false" ht="15" hidden="false" customHeight="false" outlineLevel="0" collapsed="false">
      <c r="C56" s="43"/>
      <c r="D56" s="48"/>
      <c r="E56" s="45"/>
      <c r="F56" s="46"/>
      <c r="G56" s="28"/>
      <c r="M56" s="10"/>
      <c r="N56" s="43"/>
      <c r="O56" s="48"/>
      <c r="P56" s="45"/>
      <c r="Q56" s="46"/>
      <c r="R56" s="28"/>
      <c r="Y56" s="10"/>
    </row>
    <row r="57" customFormat="false" ht="15" hidden="false" customHeight="false" outlineLevel="0" collapsed="false">
      <c r="C57" s="43"/>
      <c r="D57" s="48"/>
      <c r="E57" s="45"/>
      <c r="F57" s="46"/>
      <c r="G57" s="28"/>
      <c r="M57" s="10"/>
      <c r="N57" s="43"/>
      <c r="O57" s="48"/>
      <c r="P57" s="45"/>
      <c r="Q57" s="46"/>
      <c r="R57" s="28"/>
      <c r="Y57" s="10"/>
    </row>
    <row r="58" customFormat="false" ht="15.75" hidden="false" customHeight="false" outlineLevel="0" collapsed="false">
      <c r="C58" s="49"/>
      <c r="D58" s="50" t="s">
        <v>21</v>
      </c>
      <c r="E58" s="50" t="n">
        <f aca="false">SUM(E21:E57)</f>
        <v>17.3458916666667</v>
      </c>
      <c r="F58" s="51"/>
      <c r="G58" s="51"/>
      <c r="H58" s="51"/>
      <c r="I58" s="51"/>
      <c r="J58" s="51"/>
      <c r="K58" s="51"/>
      <c r="L58" s="51"/>
      <c r="M58" s="52"/>
      <c r="N58" s="49"/>
      <c r="O58" s="53" t="s">
        <v>21</v>
      </c>
      <c r="P58" s="54" t="n">
        <f aca="false">SUM(P21:P57)</f>
        <v>17.3458916666667</v>
      </c>
      <c r="Q58" s="51"/>
      <c r="R58" s="51"/>
      <c r="S58" s="51"/>
      <c r="T58" s="51"/>
      <c r="U58" s="51"/>
      <c r="V58" s="51"/>
      <c r="W58" s="51"/>
      <c r="X58" s="51"/>
      <c r="Y58" s="52"/>
    </row>
    <row r="59" customFormat="false" ht="20.25" hidden="false" customHeight="false" outlineLevel="0" collapsed="false">
      <c r="F59" s="55" t="s">
        <v>38</v>
      </c>
    </row>
    <row r="60" customFormat="false" ht="15.75" hidden="false" customHeight="false" outlineLevel="0" collapsed="false">
      <c r="K60" s="56" t="s">
        <v>39</v>
      </c>
      <c r="L60" s="57" t="n">
        <f aca="false">($I$62-$I$65)/($I$63-$I$66)/($I$65/$I$66)</f>
        <v>-1.05286647689014E-007</v>
      </c>
    </row>
    <row r="61" customFormat="false" ht="15.75" hidden="false" customHeight="false" outlineLevel="0" collapsed="false">
      <c r="H61" s="58"/>
      <c r="I61" s="58" t="s">
        <v>40</v>
      </c>
      <c r="K61" s="58"/>
      <c r="L61" s="59"/>
    </row>
    <row r="62" customFormat="false" ht="15.75" hidden="false" customHeight="false" outlineLevel="0" collapsed="false">
      <c r="G62" s="58"/>
      <c r="H62" s="58" t="s">
        <v>41</v>
      </c>
      <c r="I62" s="60" t="n">
        <f aca="false">P11</f>
        <v>0.0432897584887281</v>
      </c>
      <c r="K62" s="61" t="s">
        <v>42</v>
      </c>
      <c r="L62" s="61" t="n">
        <f aca="false">_xlfn.F.INV.RT(0.05,1,I66)</f>
        <v>5.31765507157871</v>
      </c>
    </row>
    <row r="63" customFormat="false" ht="15.75" hidden="false" customHeight="false" outlineLevel="0" collapsed="false">
      <c r="G63" s="58"/>
      <c r="H63" s="58" t="s">
        <v>43</v>
      </c>
      <c r="I63" s="62" t="n">
        <f aca="false">$U$6-$U$8</f>
        <v>9</v>
      </c>
      <c r="K63" s="61" t="s">
        <v>44</v>
      </c>
      <c r="L63" s="61" t="n">
        <f aca="false">_xlfn.F.INV.RT(0.01,1,I66)</f>
        <v>11.2586241432726</v>
      </c>
    </row>
    <row r="64" customFormat="false" ht="15.75" hidden="false" customHeight="false" outlineLevel="0" collapsed="false">
      <c r="G64" s="58"/>
      <c r="H64" s="58"/>
      <c r="I64" s="58" t="s">
        <v>45</v>
      </c>
    </row>
    <row r="65" customFormat="false" ht="26.25" hidden="false" customHeight="false" outlineLevel="0" collapsed="false">
      <c r="G65" s="58"/>
      <c r="H65" s="58" t="s">
        <v>46</v>
      </c>
      <c r="I65" s="60" t="n">
        <f aca="false">E11</f>
        <v>0.0432897590584573</v>
      </c>
      <c r="K65" s="63" t="s">
        <v>47</v>
      </c>
    </row>
    <row r="66" customFormat="false" ht="15.75" hidden="false" customHeight="false" outlineLevel="0" collapsed="false">
      <c r="H66" s="58" t="s">
        <v>48</v>
      </c>
      <c r="I66" s="62" t="n">
        <f aca="false">$H$6-$H$8</f>
        <v>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3:AD66"/>
  <sheetViews>
    <sheetView showFormulas="false" showGridLines="true" showRowColHeaders="true" showZeros="true" rightToLeft="false" tabSelected="false" showOutlineSymbols="true" defaultGridColor="true" view="normal" topLeftCell="M4" colorId="64" zoomScale="85" zoomScaleNormal="85" zoomScalePageLayoutView="100" workbookViewId="0">
      <selection pane="topLeft" activeCell="O11" activeCellId="0" sqref="O11"/>
    </sheetView>
  </sheetViews>
  <sheetFormatPr defaultColWidth="11.42578125" defaultRowHeight="15" zeroHeight="false" outlineLevelRow="0" outlineLevelCol="0"/>
  <cols>
    <col collapsed="false" customWidth="true" hidden="true" outlineLevel="0" max="12" min="1" style="0" width="11.53"/>
  </cols>
  <sheetData>
    <row r="3" customFormat="false" ht="45.75" hidden="false" customHeight="false" outlineLevel="0" collapsed="false">
      <c r="B3" s="1"/>
    </row>
    <row r="4" customFormat="false" ht="15.75" hidden="false" customHeight="false" outlineLevel="0" collapsed="false">
      <c r="B4" s="2" t="s">
        <v>0</v>
      </c>
      <c r="C4" s="3"/>
      <c r="D4" s="3"/>
      <c r="E4" s="4"/>
      <c r="F4" s="4"/>
      <c r="G4" s="4"/>
      <c r="H4" s="4"/>
      <c r="I4" s="4"/>
      <c r="J4" s="4"/>
      <c r="K4" s="4"/>
      <c r="L4" s="5"/>
      <c r="M4" s="6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5"/>
    </row>
    <row r="5" customFormat="false" ht="16.5" hidden="false" customHeight="false" outlineLevel="0" collapsed="false">
      <c r="B5" s="7" t="s">
        <v>1</v>
      </c>
      <c r="C5" s="8"/>
      <c r="D5" s="8"/>
      <c r="G5" s="9" t="s">
        <v>2</v>
      </c>
      <c r="K5" s="9" t="s">
        <v>3</v>
      </c>
      <c r="L5" s="10"/>
      <c r="M5" s="7" t="s">
        <v>4</v>
      </c>
      <c r="W5" s="8"/>
      <c r="X5" s="9" t="s">
        <v>2</v>
      </c>
      <c r="Z5" s="9" t="s">
        <v>5</v>
      </c>
      <c r="AB5" s="10"/>
    </row>
    <row r="6" customFormat="false" ht="17.25" hidden="false" customHeight="false" outlineLevel="0" collapsed="false">
      <c r="B6" s="11" t="s">
        <v>49</v>
      </c>
      <c r="C6" s="12" t="s">
        <v>50</v>
      </c>
      <c r="D6" s="13"/>
      <c r="E6" s="14"/>
      <c r="F6" s="14"/>
      <c r="G6" s="15" t="n">
        <f aca="false">COUNT(F21:F36)</f>
        <v>12</v>
      </c>
      <c r="L6" s="10"/>
      <c r="M6" s="16"/>
      <c r="N6" s="12" t="s">
        <v>8</v>
      </c>
      <c r="O6" s="14"/>
      <c r="P6" s="12"/>
      <c r="Q6" s="12"/>
      <c r="R6" s="12"/>
      <c r="W6" s="8"/>
      <c r="X6" s="15" t="n">
        <f aca="false">COUNT(S21:S45)</f>
        <v>12</v>
      </c>
      <c r="AB6" s="10"/>
    </row>
    <row r="7" customFormat="false" ht="17.25" hidden="false" customHeight="false" outlineLevel="0" collapsed="false">
      <c r="B7" s="11" t="s">
        <v>51</v>
      </c>
      <c r="C7" s="12" t="s">
        <v>52</v>
      </c>
      <c r="D7" s="13"/>
      <c r="E7" s="14"/>
      <c r="F7" s="14"/>
      <c r="G7" s="9" t="s">
        <v>11</v>
      </c>
      <c r="L7" s="10"/>
      <c r="M7" s="16"/>
      <c r="N7" s="12" t="s">
        <v>52</v>
      </c>
      <c r="X7" s="9" t="s">
        <v>11</v>
      </c>
      <c r="AB7" s="10"/>
    </row>
    <row r="8" customFormat="false" ht="15.75" hidden="false" customHeight="false" outlineLevel="0" collapsed="false">
      <c r="B8" s="16"/>
      <c r="E8" s="17"/>
      <c r="F8" s="17"/>
      <c r="G8" s="15" t="n">
        <f aca="false">COUNT(C10:C13)</f>
        <v>4</v>
      </c>
      <c r="L8" s="10"/>
      <c r="M8" s="16"/>
      <c r="X8" s="15" t="n">
        <f aca="false">COUNT(N11:N13)</f>
        <v>3</v>
      </c>
      <c r="AB8" s="10"/>
    </row>
    <row r="9" customFormat="false" ht="15.75" hidden="false" customHeight="false" outlineLevel="0" collapsed="false">
      <c r="B9" s="18" t="s">
        <v>12</v>
      </c>
      <c r="G9" s="19" t="s">
        <v>13</v>
      </c>
      <c r="L9" s="10"/>
      <c r="M9" s="18" t="s">
        <v>12</v>
      </c>
      <c r="P9" s="8"/>
      <c r="Q9" s="8"/>
      <c r="X9" s="19" t="s">
        <v>13</v>
      </c>
      <c r="AB9" s="10"/>
    </row>
    <row r="10" customFormat="false" ht="15.75" hidden="false" customHeight="false" outlineLevel="0" collapsed="false">
      <c r="B10" s="20" t="s">
        <v>14</v>
      </c>
      <c r="C10" s="24" t="n">
        <v>0.972171369313439</v>
      </c>
      <c r="D10" s="22" t="s">
        <v>15</v>
      </c>
      <c r="G10" s="23" t="n">
        <f aca="false">D11/(G6-G8)</f>
        <v>0.0953266421439705</v>
      </c>
      <c r="L10" s="10"/>
      <c r="M10" s="20" t="s">
        <v>16</v>
      </c>
      <c r="N10" s="24" t="n">
        <v>0</v>
      </c>
      <c r="O10" s="22" t="s">
        <v>15</v>
      </c>
      <c r="X10" s="23" t="n">
        <f aca="false">O11/(X6-X8)</f>
        <v>0.0447290722025</v>
      </c>
      <c r="AB10" s="10"/>
    </row>
    <row r="11" customFormat="false" ht="17.25" hidden="false" customHeight="false" outlineLevel="0" collapsed="false">
      <c r="B11" s="25" t="s">
        <v>17</v>
      </c>
      <c r="C11" s="64" t="n">
        <v>5.19587650623435</v>
      </c>
      <c r="D11" s="27" t="n">
        <f aca="false">SUM(F21:F57)</f>
        <v>0.762613137151764</v>
      </c>
      <c r="G11" s="28"/>
      <c r="L11" s="10"/>
      <c r="M11" s="25" t="s">
        <v>17</v>
      </c>
      <c r="N11" s="26" t="n">
        <v>5.01329916291697</v>
      </c>
      <c r="O11" s="27" t="n">
        <f aca="false">SUM(S21:S45)</f>
        <v>0.4025616498225</v>
      </c>
      <c r="X11" s="28"/>
      <c r="AB11" s="10"/>
    </row>
    <row r="12" customFormat="false" ht="17.25" hidden="false" customHeight="false" outlineLevel="0" collapsed="false">
      <c r="B12" s="25" t="s">
        <v>18</v>
      </c>
      <c r="C12" s="64" t="n">
        <v>0.364136545809149</v>
      </c>
      <c r="D12" s="22" t="s">
        <v>19</v>
      </c>
      <c r="G12" s="19" t="s">
        <v>20</v>
      </c>
      <c r="I12" s="9" t="s">
        <v>21</v>
      </c>
      <c r="L12" s="10"/>
      <c r="M12" s="25" t="s">
        <v>22</v>
      </c>
      <c r="N12" s="26" t="n">
        <v>0.367828413797596</v>
      </c>
      <c r="O12" s="22" t="s">
        <v>19</v>
      </c>
      <c r="X12" s="19" t="s">
        <v>20</v>
      </c>
      <c r="Z12" s="9" t="s">
        <v>21</v>
      </c>
      <c r="AB12" s="10"/>
    </row>
    <row r="13" customFormat="false" ht="17.25" hidden="false" customHeight="false" outlineLevel="0" collapsed="false">
      <c r="B13" s="29" t="s">
        <v>23</v>
      </c>
      <c r="C13" s="65" t="n">
        <v>8.06445389424692</v>
      </c>
      <c r="D13" s="31" t="n">
        <f aca="false">SQRT(D11/(COUNT(F21:F57)-G8))</f>
        <v>0.308750128978063</v>
      </c>
      <c r="G13" s="23" t="n">
        <f aca="false">1-D11/I13</f>
        <v>0.946303917621032</v>
      </c>
      <c r="I13" s="23" t="n">
        <f aca="false">D58</f>
        <v>14.2023980775639</v>
      </c>
      <c r="L13" s="10"/>
      <c r="M13" s="29" t="s">
        <v>23</v>
      </c>
      <c r="N13" s="30" t="n">
        <v>8.3165143797922</v>
      </c>
      <c r="O13" s="32" t="n">
        <f aca="false">SQRT(O11/(COUNT(R21:R45)-X8))</f>
        <v>0.211492487342931</v>
      </c>
      <c r="X13" s="23" t="n">
        <f aca="false">1-O11/Z13</f>
        <v>0.976792104000275</v>
      </c>
      <c r="Z13" s="23" t="n">
        <f aca="false">O58</f>
        <v>17.3458916666667</v>
      </c>
      <c r="AB13" s="10"/>
    </row>
    <row r="14" customFormat="false" ht="15.75" hidden="false" customHeight="false" outlineLevel="0" collapsed="false">
      <c r="B14" s="16" t="s">
        <v>24</v>
      </c>
      <c r="C14" s="66" t="n">
        <v>1.42200555937544</v>
      </c>
      <c r="E14" s="33"/>
      <c r="F14" s="34"/>
      <c r="G14" s="19" t="s">
        <v>25</v>
      </c>
      <c r="L14" s="10"/>
      <c r="M14" s="16" t="s">
        <v>53</v>
      </c>
      <c r="N14" s="66" t="n">
        <v>1.27748391105245</v>
      </c>
      <c r="X14" s="19" t="s">
        <v>25</v>
      </c>
      <c r="AB14" s="10"/>
    </row>
    <row r="15" customFormat="false" ht="15.75" hidden="false" customHeight="false" outlineLevel="0" collapsed="false">
      <c r="B15" s="16" t="s">
        <v>54</v>
      </c>
      <c r="C15" s="66" t="n">
        <v>17.211582999633</v>
      </c>
      <c r="E15" s="33"/>
      <c r="F15" s="34"/>
      <c r="G15" s="23" t="n">
        <f aca="false">(((G6-1)*G13)-(G8+1))/(G6-G8)</f>
        <v>0.676167886728919</v>
      </c>
      <c r="L15" s="10"/>
      <c r="M15" s="16" t="s">
        <v>54</v>
      </c>
      <c r="N15" s="66" t="n">
        <v>14.9035764097808</v>
      </c>
      <c r="X15" s="23" t="n">
        <f aca="false">(((X6-1)*X13)-(X8+1))/(X6-X8)</f>
        <v>0.749412571555892</v>
      </c>
      <c r="AB15" s="10"/>
    </row>
    <row r="16" customFormat="false" ht="18.75" hidden="false" customHeight="false" outlineLevel="0" collapsed="false">
      <c r="B16" s="16" t="s">
        <v>55</v>
      </c>
      <c r="C16" s="66" t="n">
        <v>0</v>
      </c>
      <c r="E16" s="33"/>
      <c r="F16" s="34"/>
      <c r="H16" s="35" t="s">
        <v>26</v>
      </c>
      <c r="I16" s="36"/>
      <c r="L16" s="10"/>
      <c r="M16" s="16" t="s">
        <v>55</v>
      </c>
      <c r="N16" s="66" t="n">
        <v>0</v>
      </c>
      <c r="Y16" s="35" t="s">
        <v>26</v>
      </c>
      <c r="Z16" s="36"/>
      <c r="AB16" s="10"/>
    </row>
    <row r="17" customFormat="false" ht="15.75" hidden="false" customHeight="false" outlineLevel="0" collapsed="false">
      <c r="B17" s="16"/>
      <c r="E17" s="33"/>
      <c r="F17" s="34"/>
      <c r="H17" s="23" t="n">
        <f aca="false">1-(1-G13)*((G6-1)/(G6-(G8-1)-1))</f>
        <v>0.926167886728919</v>
      </c>
      <c r="L17" s="10"/>
      <c r="M17" s="16"/>
      <c r="Y17" s="23" t="n">
        <f aca="false">1-(1-X13)*((X6-1)/(X6-(X8-1)-1))</f>
        <v>0.971634793778114</v>
      </c>
      <c r="AB17" s="10"/>
    </row>
    <row r="18" customFormat="false" ht="15" hidden="false" customHeight="false" outlineLevel="0" collapsed="false">
      <c r="B18" s="16"/>
      <c r="E18" s="33"/>
      <c r="F18" s="34"/>
      <c r="G18" s="17"/>
      <c r="H18" s="8"/>
      <c r="L18" s="10"/>
      <c r="M18" s="16"/>
      <c r="AB18" s="10"/>
    </row>
    <row r="19" customFormat="false" ht="15" hidden="false" customHeight="false" outlineLevel="0" collapsed="false">
      <c r="B19" s="18" t="s">
        <v>27</v>
      </c>
      <c r="E19" s="37" t="s">
        <v>28</v>
      </c>
      <c r="H19" s="37" t="s">
        <v>29</v>
      </c>
      <c r="L19" s="10"/>
      <c r="M19" s="18" t="s">
        <v>27</v>
      </c>
      <c r="O19" s="37" t="s">
        <v>56</v>
      </c>
      <c r="Q19" s="37" t="s">
        <v>57</v>
      </c>
      <c r="R19" s="37" t="s">
        <v>58</v>
      </c>
      <c r="W19" s="37" t="s">
        <v>29</v>
      </c>
      <c r="AB19" s="10"/>
    </row>
    <row r="20" customFormat="false" ht="15.75" hidden="false" customHeight="false" outlineLevel="0" collapsed="false">
      <c r="A20" s="0" t="s">
        <v>30</v>
      </c>
      <c r="B20" s="38" t="s">
        <v>32</v>
      </c>
      <c r="C20" s="39" t="s">
        <v>33</v>
      </c>
      <c r="D20" s="40" t="s">
        <v>34</v>
      </c>
      <c r="E20" s="40" t="s">
        <v>33</v>
      </c>
      <c r="F20" s="40" t="s">
        <v>35</v>
      </c>
      <c r="G20" s="67" t="s">
        <v>59</v>
      </c>
      <c r="L20" s="10"/>
      <c r="M20" s="41" t="s">
        <v>36</v>
      </c>
      <c r="N20" s="39" t="s">
        <v>60</v>
      </c>
      <c r="O20" s="40" t="s">
        <v>34</v>
      </c>
      <c r="P20" s="40" t="s">
        <v>33</v>
      </c>
      <c r="Q20" s="68" t="s">
        <v>61</v>
      </c>
      <c r="R20" s="40" t="s">
        <v>59</v>
      </c>
      <c r="S20" s="40" t="s">
        <v>35</v>
      </c>
      <c r="U20" s="67"/>
      <c r="V20" s="67"/>
      <c r="AB20" s="10"/>
      <c r="AC20" s="69"/>
      <c r="AD20" s="69"/>
    </row>
    <row r="21" customFormat="false" ht="15" hidden="false" customHeight="false" outlineLevel="0" collapsed="false">
      <c r="A21" s="0" t="n">
        <f aca="false">Q21/C21</f>
        <v>-0.00595712984250703</v>
      </c>
      <c r="B21" s="70" t="n">
        <v>1</v>
      </c>
      <c r="C21" s="71" t="n">
        <v>5.12710479836481</v>
      </c>
      <c r="D21" s="45" t="n">
        <f aca="false">(C21-AVERAGE(C$21:C$57))^2</f>
        <v>4.31990658629041</v>
      </c>
      <c r="E21" s="46" t="n">
        <f aca="false">IF(B21&lt;$C$10,$C$11,LOG((10^$C$13)/(1+((10^$C$13/10^$C$11)-1)*EXP(-$C$12*(B21-$C$10)))))</f>
        <v>5.20027140890088</v>
      </c>
      <c r="F21" s="28" t="n">
        <f aca="false">(Q21-G21)^2</f>
        <v>0.000932864403323241</v>
      </c>
      <c r="G21" s="0" t="n">
        <f aca="false">IF(B21&lt;$C$15,$C$16,$C$14*(LOG((10^$C$13)/(1+((10^$C$13/10^$C$11)-1)*EXP(-$C$12*(B21-$C$15))))-$C$11))</f>
        <v>0</v>
      </c>
      <c r="L21" s="10"/>
      <c r="M21" s="70" t="n">
        <v>1</v>
      </c>
      <c r="N21" s="44" t="n">
        <v>5.16</v>
      </c>
      <c r="O21" s="45" t="n">
        <f aca="false">(N21-AVERAGE(N$21:N$57))^2</f>
        <v>4.74876736111111</v>
      </c>
      <c r="P21" s="46" t="n">
        <f aca="false">IF(M21&lt;N$10,N$11,LOG((10^N$13)/(1+((10^N$13/10^N$11)-1)*EXP(-N$12*(M21-N$10)))))</f>
        <v>5.17294896609425</v>
      </c>
      <c r="Q21" s="72" t="n">
        <v>-0.030542829</v>
      </c>
      <c r="R21" s="73" t="n">
        <f aca="false">IF(M21&lt;$N$15,$N$16,$N$14*(LOG((10^$N$13)/(1+((10^$N$13/10^$N$11)-1)*EXP(-$N$12*(M21-$N$15))))-$N$11))</f>
        <v>0</v>
      </c>
      <c r="S21" s="28" t="n">
        <f aca="false">(Q21-R21)^2</f>
        <v>0.000932864403323241</v>
      </c>
      <c r="U21" s="73"/>
      <c r="V21" s="73"/>
      <c r="AB21" s="10"/>
      <c r="AC21" s="69"/>
    </row>
    <row r="22" customFormat="false" ht="15" hidden="false" customHeight="false" outlineLevel="0" collapsed="false">
      <c r="A22" s="0" t="n">
        <f aca="false">Q22/C22</f>
        <v>-0.00942697738826087</v>
      </c>
      <c r="B22" s="43" t="n">
        <v>3.25</v>
      </c>
      <c r="C22" s="48" t="n">
        <v>5.62940959910272</v>
      </c>
      <c r="D22" s="45" t="n">
        <f aca="false">(C22-AVERAGE(C$21:C$57))^2</f>
        <v>2.48419742885587</v>
      </c>
      <c r="E22" s="46" t="n">
        <f aca="false">IF(B22&lt;$C$10,$C$11,LOG((10^$C$13)/(1+((10^$C$13/10^$C$11)-1)*EXP(-$C$12*(B22-$C$10)))))</f>
        <v>5.55533924725384</v>
      </c>
      <c r="F22" s="28" t="n">
        <f aca="false">(Q22-G22)^2</f>
        <v>0.00281624626921249</v>
      </c>
      <c r="G22" s="0" t="n">
        <f aca="false">IF(B22&lt;$C$15,$C$16,$C$14*(LOG((10^$C$13)/(1+((10^$C$13/10^$C$11)-1)*EXP(-$C$12*(B22-$C$15))))-$C$11))</f>
        <v>0</v>
      </c>
      <c r="L22" s="10"/>
      <c r="M22" s="43" t="n">
        <v>3.25</v>
      </c>
      <c r="N22" s="44" t="n">
        <v>5.45</v>
      </c>
      <c r="O22" s="45" t="n">
        <f aca="false">(N22-AVERAGE(N$21:N$57))^2</f>
        <v>3.56895069444444</v>
      </c>
      <c r="P22" s="46" t="n">
        <f aca="false">IF(M22&lt;N$10,N$11,LOG((10^N$13)/(1+((10^N$13/10^N$11)-1)*EXP(-N$12*(M22-N$10)))))</f>
        <v>5.53197544560025</v>
      </c>
      <c r="Q22" s="72" t="n">
        <v>-0.053068317</v>
      </c>
      <c r="R22" s="74" t="n">
        <f aca="false">IF(M22&lt;$N$15,$N$16,$N$14*(LOG((10^$N$13)/(1+((10^$N$13/10^$N$11)-1)*EXP(-$N$12*(M22-$N$15))))-$N$11))</f>
        <v>0</v>
      </c>
      <c r="S22" s="28" t="n">
        <f aca="false">(Q22-R22)^2</f>
        <v>0.00281624626921249</v>
      </c>
      <c r="AB22" s="10"/>
      <c r="AC22" s="69"/>
    </row>
    <row r="23" customFormat="false" ht="15" hidden="false" customHeight="false" outlineLevel="0" collapsed="false">
      <c r="A23" s="0" t="n">
        <f aca="false">Q23/C23</f>
        <v>-0.000715975540674011</v>
      </c>
      <c r="B23" s="43" t="n">
        <v>6.00000000005821</v>
      </c>
      <c r="C23" s="48" t="n">
        <v>5.95424250943933</v>
      </c>
      <c r="D23" s="45" t="n">
        <f aca="false">(C23-AVERAGE(C$21:C$57))^2</f>
        <v>1.56575365714598</v>
      </c>
      <c r="E23" s="46" t="n">
        <f aca="false">IF(B23&lt;$C$10,$C$11,LOG((10^$C$13)/(1+((10^$C$13/10^$C$11)-1)*EXP(-$C$12*(B23-$C$10)))))</f>
        <v>5.98792141344128</v>
      </c>
      <c r="F23" s="28" t="n">
        <f aca="false">(Q23-G23)^2</f>
        <v>1.8173953400464E-005</v>
      </c>
      <c r="G23" s="0" t="n">
        <f aca="false">IF(B23&lt;$C$15,$C$16,$C$14*(LOG((10^$C$13)/(1+((10^$C$13/10^$C$11)-1)*EXP(-$C$12*(B23-$C$15))))-$C$11))</f>
        <v>0</v>
      </c>
      <c r="L23" s="10"/>
      <c r="M23" s="43" t="n">
        <v>6.00000000005821</v>
      </c>
      <c r="N23" s="44" t="n">
        <v>6.06</v>
      </c>
      <c r="O23" s="45" t="n">
        <f aca="false">(N23-AVERAGE(N$21:N$57))^2</f>
        <v>1.63626736111111</v>
      </c>
      <c r="P23" s="46" t="n">
        <f aca="false">IF(M23&lt;N$10,N$11,LOG((10^N$13)/(1+((10^N$13/10^N$11)-1)*EXP(-N$12*(M23-N$10)))))</f>
        <v>5.97003026898072</v>
      </c>
      <c r="Q23" s="72" t="n">
        <v>-0.004263092</v>
      </c>
      <c r="R23" s="74" t="n">
        <f aca="false">IF(M23&lt;$N$15,$N$16,$N$14*(LOG((10^$N$13)/(1+((10^$N$13/10^$N$11)-1)*EXP(-$N$12*(M23-$N$15))))-$N$11))</f>
        <v>0</v>
      </c>
      <c r="S23" s="28" t="n">
        <f aca="false">(Q23-R23)^2</f>
        <v>1.8173953400464E-005</v>
      </c>
      <c r="AB23" s="10"/>
      <c r="AC23" s="69"/>
    </row>
    <row r="24" customFormat="false" ht="15" hidden="false" customHeight="false" outlineLevel="0" collapsed="false">
      <c r="A24" s="0" t="n">
        <f aca="false">Q24/C24</f>
        <v>-0.0121629578040271</v>
      </c>
      <c r="B24" s="43" t="n">
        <v>9.00000000005821</v>
      </c>
      <c r="C24" s="48" t="n">
        <v>6.52374646681157</v>
      </c>
      <c r="D24" s="45" t="n">
        <f aca="false">(C24-AVERAGE(C$21:C$57))^2</f>
        <v>0.464846915582319</v>
      </c>
      <c r="E24" s="46" t="n">
        <f aca="false">IF(B24&lt;$C$10,$C$11,LOG((10^$C$13)/(1+((10^$C$13/10^$C$11)-1)*EXP(-$C$12*(B24-$C$10)))))</f>
        <v>6.45519319125769</v>
      </c>
      <c r="F24" s="28" t="n">
        <f aca="false">(Q24-G24)^2</f>
        <v>0.00629611351489081</v>
      </c>
      <c r="G24" s="0" t="n">
        <f aca="false">IF(B24&lt;$C$15,$C$16,$C$14*(LOG((10^$C$13)/(1+((10^$C$13/10^$C$11)-1)*EXP(-$C$12*(B24-$C$15))))-$C$11))</f>
        <v>0</v>
      </c>
      <c r="L24" s="10"/>
      <c r="M24" s="43" t="n">
        <v>9.00000000005821</v>
      </c>
      <c r="N24" s="44" t="n">
        <v>6.47</v>
      </c>
      <c r="O24" s="45" t="n">
        <f aca="false">(N24-AVERAGE(N$21:N$57))^2</f>
        <v>0.755450694444444</v>
      </c>
      <c r="P24" s="46" t="n">
        <f aca="false">IF(M24&lt;N$10,N$11,LOG((10^N$13)/(1+((10^N$13/10^N$11)-1)*EXP(-N$12*(M24-N$10)))))</f>
        <v>6.4453455439847</v>
      </c>
      <c r="Q24" s="72" t="n">
        <v>-0.079348053</v>
      </c>
      <c r="R24" s="74" t="n">
        <f aca="false">IF(M24&lt;$N$15,$N$16,$N$14*(LOG((10^$N$13)/(1+((10^$N$13/10^$N$11)-1)*EXP(-$N$12*(M24-$N$15))))-$N$11))</f>
        <v>0</v>
      </c>
      <c r="S24" s="28" t="n">
        <f aca="false">(Q24-R24)^2</f>
        <v>0.00629611351489081</v>
      </c>
      <c r="AB24" s="10"/>
      <c r="AC24" s="69"/>
      <c r="AD24" s="69"/>
    </row>
    <row r="25" customFormat="false" ht="15" hidden="false" customHeight="false" outlineLevel="0" collapsed="false">
      <c r="A25" s="0" t="n">
        <f aca="false">Q25/C25</f>
        <v>-0.019170338395445</v>
      </c>
      <c r="B25" s="43" t="n">
        <v>12.0000000000582</v>
      </c>
      <c r="C25" s="48" t="n">
        <v>6.88081359228079</v>
      </c>
      <c r="D25" s="45" t="n">
        <f aca="false">(C25-AVERAGE(C$21:C$57))^2</f>
        <v>0.105449380139838</v>
      </c>
      <c r="E25" s="46" t="n">
        <f aca="false">IF(B25&lt;$C$10,$C$11,LOG((10^$C$13)/(1+((10^$C$13/10^$C$11)-1)*EXP(-$C$12*(B25-$C$10)))))</f>
        <v>6.90896041887477</v>
      </c>
      <c r="F25" s="28" t="n">
        <f aca="false">(Q25-G25)^2</f>
        <v>0.0173995951516256</v>
      </c>
      <c r="G25" s="0" t="n">
        <f aca="false">IF(B25&lt;$C$15,$C$16,$C$14*(LOG((10^$C$13)/(1+((10^$C$13/10^$C$11)-1)*EXP(-$C$12*(B25-$C$15))))-$C$11))</f>
        <v>0</v>
      </c>
      <c r="L25" s="10"/>
      <c r="M25" s="43" t="n">
        <v>12.0000000000582</v>
      </c>
      <c r="N25" s="44" t="n">
        <v>6.87</v>
      </c>
      <c r="O25" s="45" t="n">
        <f aca="false">(N25-AVERAGE(N$21:N$57))^2</f>
        <v>0.220117361111111</v>
      </c>
      <c r="P25" s="46" t="n">
        <f aca="false">IF(M25&lt;N$10,N$11,LOG((10^N$13)/(1+((10^N$13/10^N$11)-1)*EXP(-N$12*(M25-N$10)))))</f>
        <v>6.91296871787</v>
      </c>
      <c r="Q25" s="72" t="n">
        <v>-0.131907525</v>
      </c>
      <c r="R25" s="74" t="n">
        <f aca="false">IF(M25&lt;$N$15,$N$16,$N$14*(LOG((10^$N$13)/(1+((10^$N$13/10^$N$11)-1)*EXP(-$N$12*(M25-$N$15))))-$N$11))</f>
        <v>0</v>
      </c>
      <c r="S25" s="28" t="n">
        <f aca="false">(Q25-R25)^2</f>
        <v>0.0173995951516256</v>
      </c>
      <c r="AB25" s="10"/>
      <c r="AC25" s="69"/>
      <c r="AD25" s="69"/>
    </row>
    <row r="26" customFormat="false" ht="15" hidden="false" customHeight="false" outlineLevel="0" collapsed="false">
      <c r="A26" s="0" t="n">
        <f aca="false">Q26/C26</f>
        <v>0.243312719140283</v>
      </c>
      <c r="B26" s="43" t="n">
        <v>24.4166666666861</v>
      </c>
      <c r="C26" s="48" t="n">
        <v>8.11394335230684</v>
      </c>
      <c r="D26" s="45" t="n">
        <f aca="false">(C26-AVERAGE(C$21:C$57))^2</f>
        <v>0.825190663243023</v>
      </c>
      <c r="E26" s="46" t="n">
        <f aca="false">IF(B26&lt;$C$10,$C$11,LOG((10^$C$13)/(1+((10^$C$13/10^$C$11)-1)*EXP(-$C$12*(B26-$C$10)))))</f>
        <v>8.00576856091372</v>
      </c>
      <c r="F26" s="28" t="n">
        <f aca="false">(Q26-G26)^2</f>
        <v>0.132893083147152</v>
      </c>
      <c r="G26" s="0" t="n">
        <f aca="false">IF(B26&lt;$C$15,$C$16,$C$14*(LOG((10^$C$13)/(1+((10^$C$13/10^$C$11)-1)*EXP(-$C$12*(B26-$C$15))))-$C$11))</f>
        <v>1.60968058417157</v>
      </c>
      <c r="L26" s="10"/>
      <c r="M26" s="43" t="n">
        <v>24.4166666666861</v>
      </c>
      <c r="N26" s="44" t="n">
        <v>8.23</v>
      </c>
      <c r="O26" s="45" t="n">
        <f aca="false">(N26-AVERAGE(N$21:N$57))^2</f>
        <v>0.793584027777779</v>
      </c>
      <c r="P26" s="46" t="n">
        <f aca="false">IF(M26&lt;N$10,N$11,LOG((10^N$13)/(1+((10^N$13/10^N$11)-1)*EXP(-N$12*(M26-N$10)))))</f>
        <v>8.21868088095578</v>
      </c>
      <c r="Q26" s="72" t="n">
        <v>1.97422562</v>
      </c>
      <c r="R26" s="0" t="n">
        <f aca="false">IF(M26&lt;$N$15,$N$16,$N$14*(LOG((10^$N$13)/(1+((10^$N$13/10^$N$11)-1)*EXP(-$N$12*(M26-$N$15))))-$N$11))</f>
        <v>1.93257574205581</v>
      </c>
      <c r="S26" s="28" t="n">
        <f aca="false">(Q26-R26)^2</f>
        <v>0.00173471233276591</v>
      </c>
      <c r="AB26" s="10"/>
      <c r="AC26" s="69"/>
    </row>
    <row r="27" customFormat="false" ht="15" hidden="false" customHeight="false" outlineLevel="0" collapsed="false">
      <c r="A27" s="0" t="n">
        <f aca="false">Q27/C27</f>
        <v>0.324352745122875</v>
      </c>
      <c r="B27" s="43" t="n">
        <v>27.25</v>
      </c>
      <c r="C27" s="48" t="n">
        <v>7.57978359661681</v>
      </c>
      <c r="D27" s="45" t="n">
        <f aca="false">(C27-AVERAGE(C$21:C$57))^2</f>
        <v>0.14005580299498</v>
      </c>
      <c r="E27" s="46" t="n">
        <f aca="false">IF(B27&lt;$C$10,$C$11,LOG((10^$C$13)/(1+((10^$C$13/10^$C$11)-1)*EXP(-$C$12*(B27-$C$10)))))</f>
        <v>8.04261812058601</v>
      </c>
      <c r="F27" s="28" t="n">
        <f aca="false">(Q27-G27)^2</f>
        <v>0.0537344930325634</v>
      </c>
      <c r="G27" s="0" t="n">
        <f aca="false">IF(B27&lt;$C$15,$C$16,$C$14*(LOG((10^$C$13)/(1+((10^$C$13/10^$C$11)-1)*EXP(-$C$12*(B27-$C$15))))-$C$11))</f>
        <v>2.22671660021111</v>
      </c>
      <c r="L27" s="10"/>
      <c r="M27" s="43" t="n">
        <v>27.25</v>
      </c>
      <c r="N27" s="44" t="n">
        <v>8.31</v>
      </c>
      <c r="O27" s="45" t="n">
        <f aca="false">(N27-AVERAGE(N$21:N$57))^2</f>
        <v>0.942517361111113</v>
      </c>
      <c r="P27" s="46" t="n">
        <f aca="false">IF(M27&lt;N$10,N$11,LOG((10^N$13)/(1+((10^N$13/10^N$11)-1)*EXP(-N$12*(M27-N$10)))))</f>
        <v>8.27944277823131</v>
      </c>
      <c r="Q27" s="72" t="n">
        <v>2.458523617</v>
      </c>
      <c r="R27" s="0" t="n">
        <f aca="false">IF(M27&lt;$N$15,$N$16,$N$14*(LOG((10^$N$13)/(1+((10^$N$13/10^$N$11)-1)*EXP(-$N$12*(M27-$N$15))))-$N$11))</f>
        <v>2.49452365172496</v>
      </c>
      <c r="S27" s="28" t="n">
        <f aca="false">(Q27-R27)^2</f>
        <v>0.00129600250019844</v>
      </c>
      <c r="AB27" s="10"/>
      <c r="AC27" s="69"/>
    </row>
    <row r="28" customFormat="false" ht="15" hidden="false" customHeight="false" outlineLevel="0" collapsed="false">
      <c r="A28" s="0" t="n">
        <f aca="false">Q28/C28</f>
        <v>0.412312342765705</v>
      </c>
      <c r="B28" s="43" t="n">
        <v>30.0000000000582</v>
      </c>
      <c r="C28" s="48" t="n">
        <v>8.09342168516224</v>
      </c>
      <c r="D28" s="45" t="n">
        <f aca="false">(C28-AVERAGE(C$21:C$57))^2</f>
        <v>0.788328034864742</v>
      </c>
      <c r="E28" s="46" t="n">
        <f aca="false">IF(B28&lt;$C$10,$C$11,LOG((10^$C$13)/(1+((10^$C$13/10^$C$11)-1)*EXP(-$C$12*(B28-$C$10)))))</f>
        <v>8.05630386861232</v>
      </c>
      <c r="F28" s="28" t="n">
        <f aca="false">(Q28-G28)^2</f>
        <v>0.294528308431375</v>
      </c>
      <c r="G28" s="0" t="n">
        <f aca="false">IF(B28&lt;$C$15,$C$16,$C$14*(LOG((10^$C$13)/(1+((10^$C$13/10^$C$11)-1)*EXP(-$C$12*(B28-$C$15))))-$C$11))</f>
        <v>2.79431303244187</v>
      </c>
      <c r="L28" s="10"/>
      <c r="M28" s="43" t="n">
        <v>30.0000000000582</v>
      </c>
      <c r="N28" s="44" t="n">
        <v>8.28</v>
      </c>
      <c r="O28" s="45" t="n">
        <f aca="false">(N28-AVERAGE(N$21:N$57))^2</f>
        <v>0.88516736111111</v>
      </c>
      <c r="P28" s="46" t="n">
        <f aca="false">IF(M28&lt;N$10,N$11,LOG((10^N$13)/(1+((10^N$13/10^N$11)-1)*EXP(-N$12*(M28-N$10)))))</f>
        <v>8.30266391750254</v>
      </c>
      <c r="Q28" s="72" t="n">
        <v>3.337017656</v>
      </c>
      <c r="R28" s="0" t="n">
        <f aca="false">IF(M28&lt;$N$15,$N$16,$N$14*(LOG((10^$N$13)/(1+((10^$N$13/10^$N$11)-1)*EXP(-$N$12*(M28-$N$15))))-$N$11))</f>
        <v>3.01402016515575</v>
      </c>
      <c r="S28" s="28" t="n">
        <f aca="false">(Q28-R28)^2</f>
        <v>0.104327379091683</v>
      </c>
      <c r="AB28" s="10"/>
      <c r="AC28" s="69"/>
    </row>
    <row r="29" customFormat="false" ht="15" hidden="false" customHeight="false" outlineLevel="0" collapsed="false">
      <c r="A29" s="0" t="n">
        <f aca="false">Q29/C29</f>
        <v>0.398396418774437</v>
      </c>
      <c r="B29" s="43" t="n">
        <v>33.0000000000582</v>
      </c>
      <c r="C29" s="48" t="n">
        <v>8.09342168516224</v>
      </c>
      <c r="D29" s="45" t="n">
        <f aca="false">(C29-AVERAGE(C$21:C$57))^2</f>
        <v>0.788328034864742</v>
      </c>
      <c r="E29" s="46" t="n">
        <f aca="false">IF(B29&lt;$C$10,$C$11,LOG((10^$C$13)/(1+((10^$C$13/10^$C$11)-1)*EXP(-$C$12*(B29-$C$10)))))</f>
        <v>8.06170323478475</v>
      </c>
      <c r="F29" s="28" t="n">
        <f aca="false">(Q29-G29)^2</f>
        <v>0.0116693251567518</v>
      </c>
      <c r="G29" s="0" t="n">
        <f aca="false">IF(B29&lt;$C$15,$C$16,$C$14*(LOG((10^$C$13)/(1+((10^$C$13/10^$C$11)-1)*EXP(-$C$12*(B29-$C$15))))-$C$11))</f>
        <v>3.33241486569026</v>
      </c>
      <c r="L29" s="10"/>
      <c r="M29" s="43" t="n">
        <v>33.0000000000582</v>
      </c>
      <c r="N29" s="44" t="n">
        <v>8.36</v>
      </c>
      <c r="O29" s="45" t="n">
        <f aca="false">(N29-AVERAGE(N$21:N$57))^2</f>
        <v>1.04210069444444</v>
      </c>
      <c r="P29" s="46" t="n">
        <f aca="false">IF(M29&lt;N$10,N$11,LOG((10^N$13)/(1+((10^N$13/10^N$11)-1)*EXP(-N$12*(M29-N$10)))))</f>
        <v>8.31187086825018</v>
      </c>
      <c r="Q29" s="72" t="n">
        <v>3.224390215</v>
      </c>
      <c r="R29" s="0" t="n">
        <f aca="false">IF(M29&lt;$N$15,$N$16,$N$14*(LOG((10^$N$13)/(1+((10^$N$13/10^$N$11)-1)*EXP(-$N$12*(M29-$N$15))))-$N$11))</f>
        <v>3.51172043593331</v>
      </c>
      <c r="S29" s="28" t="n">
        <f aca="false">(Q29-R29)^2</f>
        <v>0.0825586558615874</v>
      </c>
      <c r="AB29" s="10"/>
      <c r="AC29" s="69"/>
      <c r="AD29" s="69"/>
    </row>
    <row r="30" customFormat="false" ht="15" hidden="false" customHeight="false" outlineLevel="0" collapsed="false">
      <c r="A30" s="0" t="n">
        <f aca="false">Q30/C30</f>
        <v>0.453670601675749</v>
      </c>
      <c r="B30" s="43" t="n">
        <v>35.8333333333721</v>
      </c>
      <c r="C30" s="48" t="n">
        <v>8.10037054511756</v>
      </c>
      <c r="D30" s="45" t="n">
        <f aca="false">(C30-AVERAGE(C$21:C$57))^2</f>
        <v>0.800715806693948</v>
      </c>
      <c r="E30" s="46" t="n">
        <f aca="false">IF(B30&lt;$C$10,$C$11,LOG((10^$C$13)/(1+((10^$C$13/10^$C$11)-1)*EXP(-$C$12*(B30-$C$10)))))</f>
        <v>8.06347157820443</v>
      </c>
      <c r="F30" s="28" t="n">
        <f aca="false">(Q30-G30)^2</f>
        <v>0.000808043785537936</v>
      </c>
      <c r="G30" s="0" t="n">
        <f aca="false">IF(B30&lt;$C$15,$C$16,$C$14*(LOG((10^$C$13)/(1+((10^$C$13/10^$C$11)-1)*EXP(-$C$12*(B30-$C$15))))-$C$11))</f>
        <v>3.70332608998159</v>
      </c>
      <c r="L30" s="10"/>
      <c r="M30" s="43" t="n">
        <v>35.8333333333721</v>
      </c>
      <c r="N30" s="44" t="n">
        <v>8.41</v>
      </c>
      <c r="O30" s="45" t="n">
        <f aca="false">(N30-AVERAGE(N$21:N$57))^2</f>
        <v>1.14668402777778</v>
      </c>
      <c r="P30" s="46" t="n">
        <f aca="false">IF(M30&lt;N$10,N$11,LOG((10^N$13)/(1+((10^N$13/10^N$11)-1)*EXP(-N$12*(M30-N$10)))))</f>
        <v>8.3148710105009</v>
      </c>
      <c r="Q30" s="72" t="n">
        <v>3.674899979</v>
      </c>
      <c r="R30" s="0" t="n">
        <f aca="false">IF(M30&lt;$N$15,$N$16,$N$14*(LOG((10^$N$13)/(1+((10^$N$13/10^$N$11)-1)*EXP(-$N$12*(M30-$N$15))))-$N$11))</f>
        <v>3.86047459504459</v>
      </c>
      <c r="S30" s="28" t="n">
        <f aca="false">(Q30-R30)^2</f>
        <v>0.0344379381200955</v>
      </c>
      <c r="AB30" s="10"/>
      <c r="AC30" s="69"/>
      <c r="AD30" s="69"/>
    </row>
    <row r="31" customFormat="false" ht="15" hidden="false" customHeight="false" outlineLevel="0" collapsed="false">
      <c r="A31" s="0" t="n">
        <f aca="false">Q31/C31</f>
        <v>0.558691621028365</v>
      </c>
      <c r="B31" s="43" t="n">
        <v>48.5000000001164</v>
      </c>
      <c r="C31" s="48" t="n">
        <v>8.17026171539496</v>
      </c>
      <c r="D31" s="45" t="n">
        <f aca="false">(C31-AVERAGE(C$21:C$57))^2</f>
        <v>0.930681629723236</v>
      </c>
      <c r="E31" s="46" t="n">
        <f aca="false">IF(B31&lt;$C$10,$C$11,LOG((10^$C$13)/(1+((10^$C$13/10^$C$11)-1)*EXP(-$C$12*(B31-$C$10)))))</f>
        <v>8.06444413088548</v>
      </c>
      <c r="F31" s="28" t="n">
        <f aca="false">(Q31-G31)^2</f>
        <v>0.240726414974929</v>
      </c>
      <c r="G31" s="0" t="n">
        <f aca="false">IF(B31&lt;$C$15,$C$16,$C$14*(LOG((10^$C$13)/(1+((10^$C$13/10^$C$11)-1)*EXP(-$C$12*(B31-$C$15))))-$C$11))</f>
        <v>4.07401797941659</v>
      </c>
      <c r="L31" s="10"/>
      <c r="M31" s="43" t="n">
        <v>48.5000000001164</v>
      </c>
      <c r="N31" s="44" t="n">
        <v>8.26</v>
      </c>
      <c r="O31" s="45" t="n">
        <f aca="false">(N31-AVERAGE(N$21:N$57))^2</f>
        <v>0.847934027777778</v>
      </c>
      <c r="P31" s="46" t="n">
        <f aca="false">IF(M31&lt;N$10,N$11,LOG((10^N$13)/(1+((10^N$13/10^N$11)-1)*EXP(-N$12*(M31-N$10)))))</f>
        <v>8.31649878060848</v>
      </c>
      <c r="Q31" s="72" t="n">
        <v>4.564656762</v>
      </c>
      <c r="R31" s="0" t="n">
        <f aca="false">IF(M31&lt;$N$15,$N$16,$N$14*(LOG((10^$N$13)/(1+((10^$N$13/10^$N$11)-1)*EXP(-$N$12*(M31-$N$15))))-$N$11))</f>
        <v>4.2150357930806</v>
      </c>
      <c r="S31" s="28" t="n">
        <f aca="false">(Q31-R31)^2</f>
        <v>0.12223482190814</v>
      </c>
      <c r="AB31" s="10"/>
      <c r="AC31" s="69"/>
      <c r="AD31" s="69"/>
    </row>
    <row r="32" customFormat="false" ht="15" hidden="false" customHeight="false" outlineLevel="0" collapsed="false">
      <c r="A32" s="0" t="n">
        <f aca="false">Q32/C32</f>
        <v>0.493942046585366</v>
      </c>
      <c r="B32" s="43" t="n">
        <v>54.0000000000582</v>
      </c>
      <c r="C32" s="48" t="n">
        <v>8.2</v>
      </c>
      <c r="D32" s="45" t="n">
        <f aca="false">(C32-AVERAGE(C$21:C$57))^2</f>
        <v>0.988944137164802</v>
      </c>
      <c r="E32" s="46" t="n">
        <f aca="false">IF(B32&lt;$C$10,$C$11,LOG((10^$C$13)/(1+((10^$C$13/10^$C$11)-1)*EXP(-$C$12*(B32-$C$10)))))</f>
        <v>8.0644525765368</v>
      </c>
      <c r="F32" s="28" t="n">
        <f aca="false">(Q32-G32)^2</f>
        <v>0.000790475331001945</v>
      </c>
      <c r="G32" s="0" t="n">
        <f aca="false">IF(B32&lt;$C$15,$C$16,$C$14*(LOG((10^$C$13)/(1+((10^$C$13/10^$C$11)-1)*EXP(-$C$12*(B32-$C$15))))-$C$11))</f>
        <v>4.07844017513262</v>
      </c>
      <c r="L32" s="10"/>
      <c r="M32" s="43" t="n">
        <v>54</v>
      </c>
      <c r="N32" s="44" t="n">
        <v>8.21</v>
      </c>
      <c r="O32" s="45" t="n">
        <f aca="false">(N32-AVERAGE(N$21:N$57))^2</f>
        <v>0.758350694444446</v>
      </c>
      <c r="P32" s="46" t="n">
        <f aca="false">IF(M32&lt;N$10,N$11,LOG((10^N$13)/(1+((10^N$13/10^N$11)-1)*EXP(-N$12*(M32-N$10)))))</f>
        <v>8.31651231675782</v>
      </c>
      <c r="Q32" s="72" t="n">
        <v>4.050324782</v>
      </c>
      <c r="R32" s="73" t="n">
        <f aca="false">IF(M32&lt;$N$15,$N$16,$N$14*(LOG((10^$N$13)/(1+((10^$N$13/10^$N$11)-1)*EXP(-$N$12*(M32-$N$15))))-$N$11))</f>
        <v>4.21917130022166</v>
      </c>
      <c r="S32" s="28" t="n">
        <f aca="false">(Q32-R32)^2</f>
        <v>0.0285091467155766</v>
      </c>
      <c r="AB32" s="10"/>
    </row>
    <row r="33" customFormat="false" ht="15" hidden="false" customHeight="false" outlineLevel="0" collapsed="false">
      <c r="B33" s="43"/>
      <c r="C33" s="48"/>
      <c r="D33" s="45"/>
      <c r="E33" s="46"/>
      <c r="F33" s="28"/>
      <c r="L33" s="10"/>
      <c r="M33" s="43"/>
      <c r="N33" s="48"/>
      <c r="O33" s="45"/>
      <c r="P33" s="46"/>
      <c r="Q33" s="46"/>
      <c r="R33" s="28"/>
      <c r="AB33" s="10"/>
    </row>
    <row r="34" customFormat="false" ht="15" hidden="false" customHeight="false" outlineLevel="0" collapsed="false">
      <c r="B34" s="43"/>
      <c r="C34" s="48"/>
      <c r="D34" s="45"/>
      <c r="E34" s="46"/>
      <c r="F34" s="28"/>
      <c r="L34" s="10"/>
      <c r="M34" s="43"/>
      <c r="N34" s="48"/>
      <c r="O34" s="45"/>
      <c r="P34" s="46"/>
      <c r="Q34" s="46"/>
      <c r="R34" s="28"/>
      <c r="AB34" s="10"/>
    </row>
    <row r="35" customFormat="false" ht="15" hidden="false" customHeight="false" outlineLevel="0" collapsed="false">
      <c r="B35" s="43"/>
      <c r="C35" s="48"/>
      <c r="D35" s="45"/>
      <c r="E35" s="46"/>
      <c r="F35" s="28"/>
      <c r="L35" s="10"/>
      <c r="M35" s="43"/>
      <c r="N35" s="48"/>
      <c r="O35" s="45"/>
      <c r="P35" s="46"/>
      <c r="Q35" s="46"/>
      <c r="R35" s="28"/>
      <c r="AB35" s="10"/>
    </row>
    <row r="36" customFormat="false" ht="15" hidden="false" customHeight="false" outlineLevel="0" collapsed="false">
      <c r="B36" s="43"/>
      <c r="C36" s="48"/>
      <c r="D36" s="45"/>
      <c r="E36" s="46"/>
      <c r="F36" s="28"/>
      <c r="L36" s="10"/>
      <c r="M36" s="43"/>
      <c r="N36" s="48"/>
      <c r="O36" s="45"/>
      <c r="P36" s="46"/>
      <c r="Q36" s="46"/>
      <c r="R36" s="28"/>
      <c r="AB36" s="10"/>
    </row>
    <row r="37" customFormat="false" ht="15" hidden="false" customHeight="false" outlineLevel="0" collapsed="false">
      <c r="B37" s="43"/>
      <c r="C37" s="48"/>
      <c r="D37" s="45"/>
      <c r="E37" s="46"/>
      <c r="F37" s="28"/>
      <c r="L37" s="10"/>
      <c r="M37" s="43"/>
      <c r="N37" s="48"/>
      <c r="O37" s="45"/>
      <c r="P37" s="46"/>
      <c r="Q37" s="46"/>
      <c r="R37" s="28"/>
      <c r="AB37" s="10"/>
    </row>
    <row r="38" customFormat="false" ht="15" hidden="false" customHeight="false" outlineLevel="0" collapsed="false">
      <c r="B38" s="43"/>
      <c r="C38" s="48"/>
      <c r="D38" s="45"/>
      <c r="E38" s="46"/>
      <c r="F38" s="28"/>
      <c r="L38" s="10"/>
      <c r="M38" s="43"/>
      <c r="N38" s="48"/>
      <c r="O38" s="45"/>
      <c r="P38" s="46"/>
      <c r="Q38" s="46"/>
      <c r="R38" s="28"/>
      <c r="AB38" s="10"/>
    </row>
    <row r="39" customFormat="false" ht="15" hidden="false" customHeight="false" outlineLevel="0" collapsed="false">
      <c r="B39" s="43"/>
      <c r="C39" s="48"/>
      <c r="D39" s="45"/>
      <c r="E39" s="46"/>
      <c r="F39" s="28"/>
      <c r="L39" s="10"/>
      <c r="M39" s="43"/>
      <c r="N39" s="48"/>
      <c r="O39" s="45"/>
      <c r="P39" s="46"/>
      <c r="Q39" s="46"/>
      <c r="R39" s="28"/>
      <c r="AB39" s="10"/>
    </row>
    <row r="40" customFormat="false" ht="15" hidden="false" customHeight="false" outlineLevel="0" collapsed="false">
      <c r="B40" s="43"/>
      <c r="C40" s="48"/>
      <c r="D40" s="45"/>
      <c r="E40" s="46"/>
      <c r="F40" s="28"/>
      <c r="L40" s="10"/>
      <c r="M40" s="43"/>
      <c r="N40" s="48"/>
      <c r="O40" s="45"/>
      <c r="P40" s="46"/>
      <c r="Q40" s="46"/>
      <c r="R40" s="28"/>
      <c r="AB40" s="10"/>
    </row>
    <row r="41" customFormat="false" ht="15" hidden="false" customHeight="false" outlineLevel="0" collapsed="false">
      <c r="B41" s="43"/>
      <c r="C41" s="48"/>
      <c r="D41" s="45"/>
      <c r="E41" s="46"/>
      <c r="F41" s="28"/>
      <c r="L41" s="10"/>
      <c r="M41" s="43"/>
      <c r="N41" s="48"/>
      <c r="O41" s="45"/>
      <c r="P41" s="46"/>
      <c r="Q41" s="46"/>
      <c r="R41" s="28"/>
      <c r="AB41" s="10"/>
    </row>
    <row r="42" customFormat="false" ht="15" hidden="false" customHeight="false" outlineLevel="0" collapsed="false">
      <c r="B42" s="43"/>
      <c r="C42" s="48"/>
      <c r="D42" s="45"/>
      <c r="E42" s="46"/>
      <c r="F42" s="28"/>
      <c r="L42" s="10"/>
      <c r="M42" s="43"/>
      <c r="N42" s="48"/>
      <c r="O42" s="45"/>
      <c r="P42" s="46"/>
      <c r="Q42" s="46"/>
      <c r="R42" s="28"/>
      <c r="AB42" s="10"/>
    </row>
    <row r="43" customFormat="false" ht="15" hidden="false" customHeight="false" outlineLevel="0" collapsed="false">
      <c r="B43" s="43"/>
      <c r="C43" s="48"/>
      <c r="D43" s="45"/>
      <c r="E43" s="46"/>
      <c r="F43" s="28"/>
      <c r="L43" s="10"/>
      <c r="M43" s="43"/>
      <c r="N43" s="48"/>
      <c r="O43" s="45"/>
      <c r="P43" s="46"/>
      <c r="Q43" s="46"/>
      <c r="R43" s="28"/>
      <c r="AB43" s="10"/>
    </row>
    <row r="44" customFormat="false" ht="15" hidden="false" customHeight="false" outlineLevel="0" collapsed="false">
      <c r="B44" s="43"/>
      <c r="C44" s="48"/>
      <c r="D44" s="45"/>
      <c r="E44" s="46"/>
      <c r="F44" s="28"/>
      <c r="L44" s="10"/>
      <c r="M44" s="43"/>
      <c r="N44" s="48"/>
      <c r="O44" s="45"/>
      <c r="P44" s="46"/>
      <c r="Q44" s="46"/>
      <c r="R44" s="28"/>
      <c r="AB44" s="10"/>
    </row>
    <row r="45" customFormat="false" ht="15" hidden="false" customHeight="false" outlineLevel="0" collapsed="false">
      <c r="B45" s="43"/>
      <c r="C45" s="48"/>
      <c r="D45" s="45"/>
      <c r="E45" s="46"/>
      <c r="F45" s="28"/>
      <c r="L45" s="10"/>
      <c r="M45" s="43"/>
      <c r="N45" s="48"/>
      <c r="O45" s="45"/>
      <c r="P45" s="46"/>
      <c r="Q45" s="46"/>
      <c r="R45" s="28"/>
      <c r="AB45" s="10"/>
    </row>
    <row r="46" customFormat="false" ht="15" hidden="false" customHeight="false" outlineLevel="0" collapsed="false">
      <c r="B46" s="43"/>
      <c r="C46" s="48"/>
      <c r="D46" s="45"/>
      <c r="E46" s="46"/>
      <c r="F46" s="28"/>
      <c r="H46" s="0" t="n">
        <f aca="false">LOG(2)</f>
        <v>0.301029995663981</v>
      </c>
      <c r="L46" s="10"/>
      <c r="M46" s="43"/>
      <c r="N46" s="48"/>
      <c r="O46" s="45"/>
      <c r="P46" s="46"/>
      <c r="Q46" s="46"/>
      <c r="R46" s="28"/>
      <c r="AB46" s="10"/>
    </row>
    <row r="47" customFormat="false" ht="15" hidden="false" customHeight="false" outlineLevel="0" collapsed="false">
      <c r="B47" s="43"/>
      <c r="C47" s="48"/>
      <c r="D47" s="45"/>
      <c r="E47" s="46"/>
      <c r="F47" s="28"/>
      <c r="H47" s="0" t="n">
        <f aca="false">LN(2)</f>
        <v>0.693147180559945</v>
      </c>
      <c r="L47" s="10"/>
      <c r="M47" s="43"/>
      <c r="N47" s="48"/>
      <c r="O47" s="45"/>
      <c r="P47" s="46"/>
      <c r="Q47" s="46"/>
      <c r="R47" s="28"/>
      <c r="AB47" s="10"/>
    </row>
    <row r="48" customFormat="false" ht="15" hidden="false" customHeight="false" outlineLevel="0" collapsed="false">
      <c r="B48" s="43"/>
      <c r="C48" s="48"/>
      <c r="D48" s="45"/>
      <c r="E48" s="46"/>
      <c r="F48" s="28"/>
      <c r="L48" s="10"/>
      <c r="M48" s="43"/>
      <c r="N48" s="48"/>
      <c r="O48" s="45"/>
      <c r="P48" s="46"/>
      <c r="Q48" s="46"/>
      <c r="R48" s="28"/>
      <c r="AB48" s="10"/>
    </row>
    <row r="49" customFormat="false" ht="15" hidden="false" customHeight="false" outlineLevel="0" collapsed="false">
      <c r="B49" s="43"/>
      <c r="C49" s="48"/>
      <c r="D49" s="45"/>
      <c r="E49" s="46"/>
      <c r="F49" s="28"/>
      <c r="L49" s="10"/>
      <c r="M49" s="43"/>
      <c r="N49" s="48"/>
      <c r="O49" s="45"/>
      <c r="P49" s="46"/>
      <c r="Q49" s="46"/>
      <c r="R49" s="28"/>
      <c r="AB49" s="10"/>
    </row>
    <row r="50" customFormat="false" ht="15" hidden="false" customHeight="false" outlineLevel="0" collapsed="false">
      <c r="B50" s="43"/>
      <c r="C50" s="48"/>
      <c r="D50" s="45"/>
      <c r="E50" s="46"/>
      <c r="F50" s="28"/>
      <c r="L50" s="10"/>
      <c r="M50" s="43"/>
      <c r="N50" s="48"/>
      <c r="O50" s="45"/>
      <c r="P50" s="46"/>
      <c r="Q50" s="46"/>
      <c r="R50" s="28"/>
      <c r="AB50" s="10"/>
    </row>
    <row r="51" customFormat="false" ht="15" hidden="false" customHeight="false" outlineLevel="0" collapsed="false">
      <c r="B51" s="43"/>
      <c r="C51" s="48"/>
      <c r="D51" s="45"/>
      <c r="E51" s="46"/>
      <c r="F51" s="28"/>
      <c r="L51" s="10"/>
      <c r="M51" s="43"/>
      <c r="N51" s="48"/>
      <c r="O51" s="45"/>
      <c r="P51" s="46"/>
      <c r="Q51" s="46"/>
      <c r="R51" s="28"/>
      <c r="AB51" s="10"/>
    </row>
    <row r="52" customFormat="false" ht="15" hidden="false" customHeight="false" outlineLevel="0" collapsed="false">
      <c r="B52" s="43"/>
      <c r="C52" s="48"/>
      <c r="D52" s="45"/>
      <c r="E52" s="46"/>
      <c r="F52" s="28"/>
      <c r="L52" s="10"/>
      <c r="M52" s="43"/>
      <c r="N52" s="48"/>
      <c r="O52" s="45"/>
      <c r="P52" s="46"/>
      <c r="Q52" s="46"/>
      <c r="R52" s="28"/>
      <c r="AB52" s="10"/>
    </row>
    <row r="53" customFormat="false" ht="15" hidden="false" customHeight="false" outlineLevel="0" collapsed="false">
      <c r="B53" s="43"/>
      <c r="C53" s="48"/>
      <c r="D53" s="45"/>
      <c r="E53" s="46"/>
      <c r="F53" s="28"/>
      <c r="L53" s="10"/>
      <c r="M53" s="43"/>
      <c r="N53" s="48"/>
      <c r="O53" s="45"/>
      <c r="P53" s="46"/>
      <c r="Q53" s="46"/>
      <c r="R53" s="28"/>
      <c r="AB53" s="10"/>
    </row>
    <row r="54" customFormat="false" ht="15" hidden="false" customHeight="false" outlineLevel="0" collapsed="false">
      <c r="B54" s="43"/>
      <c r="C54" s="48"/>
      <c r="D54" s="45"/>
      <c r="E54" s="46"/>
      <c r="F54" s="28"/>
      <c r="L54" s="10"/>
      <c r="M54" s="43"/>
      <c r="N54" s="48"/>
      <c r="O54" s="45"/>
      <c r="P54" s="46"/>
      <c r="Q54" s="46"/>
      <c r="R54" s="28"/>
      <c r="AB54" s="10"/>
    </row>
    <row r="55" customFormat="false" ht="15" hidden="false" customHeight="false" outlineLevel="0" collapsed="false">
      <c r="B55" s="43"/>
      <c r="C55" s="48"/>
      <c r="D55" s="45"/>
      <c r="E55" s="46"/>
      <c r="F55" s="28"/>
      <c r="L55" s="10"/>
      <c r="M55" s="43"/>
      <c r="N55" s="48"/>
      <c r="O55" s="45"/>
      <c r="P55" s="46"/>
      <c r="Q55" s="46"/>
      <c r="R55" s="28"/>
      <c r="AB55" s="10"/>
    </row>
    <row r="56" customFormat="false" ht="15" hidden="false" customHeight="false" outlineLevel="0" collapsed="false">
      <c r="B56" s="43"/>
      <c r="C56" s="48"/>
      <c r="D56" s="45"/>
      <c r="E56" s="46"/>
      <c r="F56" s="28"/>
      <c r="L56" s="10"/>
      <c r="M56" s="43"/>
      <c r="N56" s="48"/>
      <c r="O56" s="45"/>
      <c r="P56" s="46"/>
      <c r="Q56" s="46"/>
      <c r="R56" s="28"/>
      <c r="AB56" s="10"/>
    </row>
    <row r="57" customFormat="false" ht="15" hidden="false" customHeight="false" outlineLevel="0" collapsed="false">
      <c r="B57" s="43"/>
      <c r="C57" s="48"/>
      <c r="D57" s="45"/>
      <c r="E57" s="46"/>
      <c r="F57" s="28"/>
      <c r="L57" s="10"/>
      <c r="M57" s="43"/>
      <c r="N57" s="48"/>
      <c r="O57" s="45"/>
      <c r="P57" s="46"/>
      <c r="Q57" s="46"/>
      <c r="R57" s="28"/>
      <c r="AB57" s="10"/>
    </row>
    <row r="58" customFormat="false" ht="15.75" hidden="false" customHeight="false" outlineLevel="0" collapsed="false">
      <c r="B58" s="49"/>
      <c r="C58" s="50" t="s">
        <v>21</v>
      </c>
      <c r="D58" s="50" t="n">
        <f aca="false">SUM(D21:D57)</f>
        <v>14.2023980775639</v>
      </c>
      <c r="E58" s="51"/>
      <c r="F58" s="51"/>
      <c r="G58" s="51"/>
      <c r="H58" s="51"/>
      <c r="I58" s="51"/>
      <c r="J58" s="51"/>
      <c r="K58" s="51"/>
      <c r="L58" s="52"/>
      <c r="M58" s="49"/>
      <c r="N58" s="53" t="s">
        <v>21</v>
      </c>
      <c r="O58" s="54" t="n">
        <f aca="false">SUM(O21:O57)</f>
        <v>17.3458916666667</v>
      </c>
      <c r="P58" s="51"/>
      <c r="Q58" s="51"/>
      <c r="R58" s="51"/>
      <c r="S58" s="51"/>
      <c r="T58" s="51"/>
      <c r="U58" s="51"/>
      <c r="V58" s="51"/>
      <c r="W58" s="51"/>
      <c r="X58" s="51"/>
      <c r="Y58" s="51"/>
      <c r="Z58" s="51"/>
      <c r="AA58" s="51"/>
      <c r="AB58" s="52"/>
    </row>
    <row r="59" customFormat="false" ht="20.25" hidden="false" customHeight="false" outlineLevel="0" collapsed="false">
      <c r="E59" s="55" t="s">
        <v>38</v>
      </c>
    </row>
    <row r="60" customFormat="false" ht="15.75" hidden="false" customHeight="false" outlineLevel="0" collapsed="false">
      <c r="J60" s="56" t="s">
        <v>39</v>
      </c>
      <c r="K60" s="57" t="n">
        <f aca="false">($H$62-$H$65)/($H$63-$H$66)/($H$65/$H$66)</f>
        <v>-3.77702895257218</v>
      </c>
    </row>
    <row r="61" customFormat="false" ht="15.75" hidden="false" customHeight="false" outlineLevel="0" collapsed="false">
      <c r="G61" s="58"/>
      <c r="H61" s="58" t="s">
        <v>40</v>
      </c>
      <c r="J61" s="58"/>
      <c r="K61" s="59"/>
    </row>
    <row r="62" customFormat="false" ht="15.75" hidden="false" customHeight="false" outlineLevel="0" collapsed="false">
      <c r="F62" s="58"/>
      <c r="G62" s="58" t="s">
        <v>41</v>
      </c>
      <c r="H62" s="60" t="n">
        <f aca="false">O11</f>
        <v>0.4025616498225</v>
      </c>
      <c r="J62" s="61" t="s">
        <v>42</v>
      </c>
      <c r="K62" s="61" t="n">
        <f aca="false">_xlfn.F.INV.RT(0.05,1,H66)</f>
        <v>5.31765507157871</v>
      </c>
    </row>
    <row r="63" customFormat="false" ht="15.75" hidden="false" customHeight="false" outlineLevel="0" collapsed="false">
      <c r="F63" s="58"/>
      <c r="G63" s="58" t="s">
        <v>43</v>
      </c>
      <c r="H63" s="62" t="n">
        <f aca="false">$X$6-$X$8</f>
        <v>9</v>
      </c>
      <c r="J63" s="61" t="s">
        <v>44</v>
      </c>
      <c r="K63" s="61" t="n">
        <f aca="false">_xlfn.F.INV.RT(0.01,1,H66)</f>
        <v>11.2586241432726</v>
      </c>
    </row>
    <row r="64" customFormat="false" ht="15.75" hidden="false" customHeight="false" outlineLevel="0" collapsed="false">
      <c r="F64" s="58"/>
      <c r="G64" s="58"/>
      <c r="H64" s="58" t="s">
        <v>45</v>
      </c>
    </row>
    <row r="65" customFormat="false" ht="26.25" hidden="false" customHeight="false" outlineLevel="0" collapsed="false">
      <c r="F65" s="58"/>
      <c r="G65" s="58" t="s">
        <v>46</v>
      </c>
      <c r="H65" s="60" t="n">
        <f aca="false">D11</f>
        <v>0.762613137151764</v>
      </c>
      <c r="J65" s="63" t="s">
        <v>47</v>
      </c>
    </row>
    <row r="66" customFormat="false" ht="15.75" hidden="false" customHeight="false" outlineLevel="0" collapsed="false">
      <c r="G66" s="58" t="s">
        <v>48</v>
      </c>
      <c r="H66" s="62" t="n">
        <f aca="false">$G$6-$G$8</f>
        <v>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3:AA66"/>
  <sheetViews>
    <sheetView showFormulas="false" showGridLines="true" showRowColHeaders="true" showZeros="true" rightToLeft="false" tabSelected="false" showOutlineSymbols="true" defaultGridColor="true" view="normal" topLeftCell="C6" colorId="64" zoomScale="85" zoomScaleNormal="85" zoomScalePageLayoutView="100" workbookViewId="0">
      <selection pane="topLeft" activeCell="O21" activeCellId="0" sqref="O21"/>
    </sheetView>
  </sheetViews>
  <sheetFormatPr defaultColWidth="11.42578125" defaultRowHeight="15" zeroHeight="false" outlineLevelRow="0" outlineLevelCol="0"/>
  <sheetData>
    <row r="3" customFormat="false" ht="45.75" hidden="false" customHeight="false" outlineLevel="0" collapsed="false">
      <c r="C3" s="1"/>
    </row>
    <row r="4" customFormat="false" ht="15.75" hidden="false" customHeight="false" outlineLevel="0" collapsed="false">
      <c r="C4" s="2" t="s">
        <v>0</v>
      </c>
      <c r="D4" s="3"/>
      <c r="E4" s="3"/>
      <c r="F4" s="4"/>
      <c r="G4" s="4"/>
      <c r="H4" s="4"/>
      <c r="I4" s="4"/>
      <c r="J4" s="4"/>
      <c r="K4" s="4"/>
      <c r="L4" s="4"/>
      <c r="M4" s="5"/>
      <c r="N4" s="6"/>
      <c r="O4" s="4"/>
      <c r="P4" s="4"/>
      <c r="Q4" s="4"/>
      <c r="R4" s="4"/>
      <c r="S4" s="4"/>
      <c r="T4" s="4"/>
      <c r="U4" s="4"/>
      <c r="V4" s="4"/>
      <c r="W4" s="4"/>
      <c r="X4" s="4"/>
      <c r="Y4" s="5"/>
    </row>
    <row r="5" customFormat="false" ht="16.5" hidden="false" customHeight="false" outlineLevel="0" collapsed="false">
      <c r="C5" s="7" t="s">
        <v>1</v>
      </c>
      <c r="D5" s="8"/>
      <c r="E5" s="8"/>
      <c r="H5" s="9" t="s">
        <v>2</v>
      </c>
      <c r="L5" s="9" t="s">
        <v>3</v>
      </c>
      <c r="M5" s="10"/>
      <c r="N5" s="7" t="s">
        <v>4</v>
      </c>
      <c r="T5" s="8"/>
      <c r="U5" s="9" t="s">
        <v>2</v>
      </c>
      <c r="W5" s="9" t="s">
        <v>5</v>
      </c>
      <c r="Y5" s="10"/>
    </row>
    <row r="6" customFormat="false" ht="17.25" hidden="false" customHeight="false" outlineLevel="0" collapsed="false">
      <c r="C6" s="11" t="s">
        <v>6</v>
      </c>
      <c r="D6" s="12" t="s">
        <v>7</v>
      </c>
      <c r="E6" s="13"/>
      <c r="F6" s="14"/>
      <c r="G6" s="14"/>
      <c r="H6" s="15" t="n">
        <f aca="false">COUNT(G21:G32)</f>
        <v>12</v>
      </c>
      <c r="M6" s="10"/>
      <c r="N6" s="16"/>
      <c r="O6" s="12" t="s">
        <v>8</v>
      </c>
      <c r="P6" s="14"/>
      <c r="Q6" s="12"/>
      <c r="R6" s="12"/>
      <c r="S6" s="14"/>
      <c r="T6" s="8"/>
      <c r="U6" s="15" t="n">
        <f aca="false">COUNT(R21:R32)</f>
        <v>12</v>
      </c>
      <c r="Y6" s="10"/>
    </row>
    <row r="7" customFormat="false" ht="17.25" hidden="false" customHeight="false" outlineLevel="0" collapsed="false">
      <c r="C7" s="11" t="s">
        <v>9</v>
      </c>
      <c r="D7" s="12" t="s">
        <v>10</v>
      </c>
      <c r="E7" s="13"/>
      <c r="F7" s="14"/>
      <c r="G7" s="14"/>
      <c r="H7" s="9" t="s">
        <v>11</v>
      </c>
      <c r="M7" s="10"/>
      <c r="N7" s="16"/>
      <c r="U7" s="9" t="s">
        <v>11</v>
      </c>
      <c r="Y7" s="10"/>
    </row>
    <row r="8" customFormat="false" ht="15.75" hidden="false" customHeight="false" outlineLevel="0" collapsed="false">
      <c r="C8" s="16"/>
      <c r="F8" s="17"/>
      <c r="G8" s="17"/>
      <c r="H8" s="15" t="n">
        <f aca="false">COUNT(D10:D13)</f>
        <v>4</v>
      </c>
      <c r="M8" s="10"/>
      <c r="N8" s="16"/>
      <c r="U8" s="15" t="n">
        <f aca="false">COUNT(O11:O13)</f>
        <v>3</v>
      </c>
      <c r="Y8" s="10"/>
    </row>
    <row r="9" customFormat="false" ht="15.75" hidden="false" customHeight="false" outlineLevel="0" collapsed="false">
      <c r="C9" s="18" t="s">
        <v>12</v>
      </c>
      <c r="H9" s="19" t="s">
        <v>13</v>
      </c>
      <c r="M9" s="10"/>
      <c r="N9" s="18" t="s">
        <v>12</v>
      </c>
      <c r="Q9" s="8"/>
      <c r="U9" s="19" t="s">
        <v>13</v>
      </c>
      <c r="Y9" s="10"/>
    </row>
    <row r="10" customFormat="false" ht="15.75" hidden="false" customHeight="false" outlineLevel="0" collapsed="false">
      <c r="C10" s="20" t="s">
        <v>14</v>
      </c>
      <c r="D10" s="21" t="n">
        <v>0</v>
      </c>
      <c r="E10" s="22" t="s">
        <v>15</v>
      </c>
      <c r="H10" s="23" t="n">
        <f aca="false">E11/(H6-H8)</f>
        <v>0.00357478253552602</v>
      </c>
      <c r="M10" s="10"/>
      <c r="N10" s="20" t="s">
        <v>16</v>
      </c>
      <c r="O10" s="24" t="n">
        <v>0</v>
      </c>
      <c r="P10" s="22" t="s">
        <v>15</v>
      </c>
      <c r="U10" s="23" t="n">
        <f aca="false">P11/(U6-U8)</f>
        <v>0.00317758447602333</v>
      </c>
      <c r="Y10" s="10"/>
    </row>
    <row r="11" customFormat="false" ht="17.25" hidden="false" customHeight="false" outlineLevel="0" collapsed="false">
      <c r="C11" s="25" t="s">
        <v>17</v>
      </c>
      <c r="D11" s="26" t="n">
        <v>5.15235517582282</v>
      </c>
      <c r="E11" s="27" t="n">
        <f aca="false">SUM(G21:G57)</f>
        <v>0.0285982602842082</v>
      </c>
      <c r="H11" s="28"/>
      <c r="M11" s="10"/>
      <c r="N11" s="25" t="s">
        <v>17</v>
      </c>
      <c r="O11" s="26" t="n">
        <v>5.15235517575142</v>
      </c>
      <c r="P11" s="27" t="n">
        <f aca="false">SUM(R21:R57)</f>
        <v>0.02859826028421</v>
      </c>
      <c r="U11" s="28"/>
      <c r="Y11" s="10"/>
    </row>
    <row r="12" customFormat="false" ht="17.25" hidden="false" customHeight="false" outlineLevel="0" collapsed="false">
      <c r="C12" s="25" t="s">
        <v>18</v>
      </c>
      <c r="D12" s="26" t="n">
        <v>0.373202851493981</v>
      </c>
      <c r="E12" s="22" t="s">
        <v>19</v>
      </c>
      <c r="H12" s="19" t="s">
        <v>20</v>
      </c>
      <c r="J12" s="9" t="s">
        <v>21</v>
      </c>
      <c r="M12" s="10"/>
      <c r="N12" s="25" t="s">
        <v>22</v>
      </c>
      <c r="O12" s="26" t="n">
        <v>0.373202851507825</v>
      </c>
      <c r="P12" s="22" t="s">
        <v>19</v>
      </c>
      <c r="U12" s="19" t="s">
        <v>20</v>
      </c>
      <c r="W12" s="9" t="s">
        <v>21</v>
      </c>
      <c r="Y12" s="10"/>
    </row>
    <row r="13" customFormat="false" ht="17.25" hidden="false" customHeight="false" outlineLevel="0" collapsed="false">
      <c r="C13" s="29" t="s">
        <v>23</v>
      </c>
      <c r="D13" s="30" t="n">
        <v>8.29850818056898</v>
      </c>
      <c r="E13" s="31" t="n">
        <f aca="false">SQRT(E11/(COUNT(G21:G57)-H8))</f>
        <v>0.059789485158563</v>
      </c>
      <c r="H13" s="23" t="n">
        <f aca="false">1-E11/J13</f>
        <v>0.998128982024647</v>
      </c>
      <c r="J13" s="23" t="n">
        <f aca="false">E58</f>
        <v>15.2848666666667</v>
      </c>
      <c r="M13" s="10"/>
      <c r="N13" s="29" t="s">
        <v>23</v>
      </c>
      <c r="O13" s="30" t="n">
        <v>8.29850818054376</v>
      </c>
      <c r="P13" s="32" t="n">
        <f aca="false">SQRT(P11/(COUNT(R21:R57)-U8))</f>
        <v>0.0563700671990315</v>
      </c>
      <c r="U13" s="23" t="n">
        <f aca="false">1-P11/W13</f>
        <v>0.998128982024647</v>
      </c>
      <c r="W13" s="23" t="n">
        <f aca="false">P58</f>
        <v>15.2848666666667</v>
      </c>
      <c r="Y13" s="10"/>
    </row>
    <row r="14" customFormat="false" ht="15.75" hidden="false" customHeight="false" outlineLevel="0" collapsed="false">
      <c r="C14" s="16" t="s">
        <v>24</v>
      </c>
      <c r="F14" s="33"/>
      <c r="G14" s="34"/>
      <c r="H14" s="19" t="s">
        <v>25</v>
      </c>
      <c r="M14" s="10"/>
      <c r="N14" s="16"/>
      <c r="U14" s="19" t="s">
        <v>25</v>
      </c>
      <c r="Y14" s="10"/>
    </row>
    <row r="15" customFormat="false" ht="15.75" hidden="false" customHeight="false" outlineLevel="0" collapsed="false">
      <c r="C15" s="16"/>
      <c r="F15" s="33"/>
      <c r="G15" s="34"/>
      <c r="H15" s="23" t="n">
        <f aca="false">(((H6-1)*H13)-(H8+1))/(H6-H8)</f>
        <v>0.74742735028389</v>
      </c>
      <c r="M15" s="10"/>
      <c r="N15" s="16"/>
      <c r="U15" s="23" t="n">
        <f aca="false">(((U6-1)*U13)-(U8+1))/(U6-U8)</f>
        <v>0.775490978030124</v>
      </c>
      <c r="Y15" s="10"/>
    </row>
    <row r="16" customFormat="false" ht="15.75" hidden="false" customHeight="false" outlineLevel="0" collapsed="false">
      <c r="C16" s="16"/>
      <c r="F16" s="33"/>
      <c r="G16" s="34"/>
      <c r="I16" s="35" t="s">
        <v>26</v>
      </c>
      <c r="J16" s="36"/>
      <c r="M16" s="10"/>
      <c r="N16" s="16"/>
      <c r="V16" s="35" t="s">
        <v>26</v>
      </c>
      <c r="W16" s="36"/>
      <c r="Y16" s="10"/>
    </row>
    <row r="17" customFormat="false" ht="15.75" hidden="false" customHeight="false" outlineLevel="0" collapsed="false">
      <c r="C17" s="16"/>
      <c r="F17" s="33"/>
      <c r="G17" s="34"/>
      <c r="I17" s="23" t="n">
        <f aca="false">1-(1-H13)*((H6-1)/(H6-(H8-1)-1))</f>
        <v>0.99742735028389</v>
      </c>
      <c r="M17" s="10"/>
      <c r="N17" s="16"/>
      <c r="V17" s="23" t="n">
        <f aca="false">1-(1-U13)*((U6-1)/(U6-(U8-1)-1))</f>
        <v>0.997713200252346</v>
      </c>
      <c r="Y17" s="10"/>
    </row>
    <row r="18" customFormat="false" ht="15" hidden="false" customHeight="false" outlineLevel="0" collapsed="false">
      <c r="C18" s="16"/>
      <c r="F18" s="33"/>
      <c r="G18" s="34"/>
      <c r="H18" s="17"/>
      <c r="I18" s="8"/>
      <c r="M18" s="10"/>
      <c r="N18" s="16"/>
      <c r="Y18" s="10"/>
    </row>
    <row r="19" customFormat="false" ht="15" hidden="false" customHeight="false" outlineLevel="0" collapsed="false">
      <c r="C19" s="18" t="s">
        <v>27</v>
      </c>
      <c r="F19" s="37" t="s">
        <v>28</v>
      </c>
      <c r="I19" s="37" t="s">
        <v>29</v>
      </c>
      <c r="M19" s="10"/>
      <c r="N19" s="18" t="s">
        <v>27</v>
      </c>
      <c r="Q19" s="37" t="s">
        <v>28</v>
      </c>
      <c r="T19" s="37" t="s">
        <v>29</v>
      </c>
      <c r="Y19" s="10"/>
    </row>
    <row r="20" customFormat="false" ht="15" hidden="false" customHeight="false" outlineLevel="0" collapsed="false">
      <c r="A20" s="0" t="s">
        <v>30</v>
      </c>
      <c r="B20" s="0" t="s">
        <v>31</v>
      </c>
      <c r="C20" s="38" t="s">
        <v>32</v>
      </c>
      <c r="D20" s="39" t="s">
        <v>33</v>
      </c>
      <c r="E20" s="40" t="s">
        <v>34</v>
      </c>
      <c r="F20" s="40" t="s">
        <v>33</v>
      </c>
      <c r="G20" s="40" t="s">
        <v>35</v>
      </c>
      <c r="M20" s="10"/>
      <c r="N20" s="41" t="s">
        <v>36</v>
      </c>
      <c r="O20" s="39" t="s">
        <v>33</v>
      </c>
      <c r="P20" s="40" t="s">
        <v>34</v>
      </c>
      <c r="Q20" s="40" t="s">
        <v>33</v>
      </c>
      <c r="R20" s="40" t="s">
        <v>35</v>
      </c>
      <c r="Y20" s="10"/>
      <c r="Z20" s="42" t="n">
        <v>1</v>
      </c>
      <c r="AA20" s="42" t="n">
        <v>5.27875360095283</v>
      </c>
    </row>
    <row r="21" customFormat="false" ht="15" hidden="false" customHeight="false" outlineLevel="0" collapsed="false">
      <c r="A21" s="0" t="n">
        <f aca="false">B22/D21</f>
        <v>0</v>
      </c>
      <c r="C21" s="43" t="n">
        <v>1</v>
      </c>
      <c r="D21" s="75" t="n">
        <v>5.31</v>
      </c>
      <c r="E21" s="45" t="n">
        <f aca="false">(D21-AVERAGE(D$21:D$57))^2</f>
        <v>4.35417777777778</v>
      </c>
      <c r="F21" s="46" t="n">
        <f aca="false">IF(C21&lt;$D$10,$D$11,LOG((10^$D$13)/(1+((10^$D$13/10^$D$11)-1)*EXP(-$D$12*(C21-$D$10)))))</f>
        <v>5.31429481296766</v>
      </c>
      <c r="G21" s="28" t="n">
        <f aca="false">(D21-F21)^2</f>
        <v>1.84454184271508E-005</v>
      </c>
      <c r="M21" s="10"/>
      <c r="N21" s="43" t="n">
        <v>1</v>
      </c>
      <c r="O21" s="75" t="n">
        <v>5.31</v>
      </c>
      <c r="P21" s="45" t="n">
        <f aca="false">(O21-AVERAGE(O$21:O$57))^2</f>
        <v>4.35417777777778</v>
      </c>
      <c r="Q21" s="46" t="n">
        <f aca="false">IF(N21&lt;O$10,O$11,LOG((10^O$13)/(1+((10^O$13/10^O$11)-1)*EXP(-O$12*(N21-O$10)))))</f>
        <v>5.31429481290229</v>
      </c>
      <c r="R21" s="28" t="n">
        <f aca="false">(O21-Q21)^2</f>
        <v>1.844541786564E-005</v>
      </c>
      <c r="Y21" s="10"/>
      <c r="Z21" s="42" t="n">
        <v>3.00000000005821</v>
      </c>
      <c r="AA21" s="47"/>
    </row>
    <row r="22" customFormat="false" ht="15" hidden="false" customHeight="false" outlineLevel="0" collapsed="false">
      <c r="A22" s="0" t="n">
        <f aca="false">B23/D22</f>
        <v>0</v>
      </c>
      <c r="B22" s="0" t="n">
        <v>0</v>
      </c>
      <c r="C22" s="43" t="n">
        <v>3</v>
      </c>
      <c r="D22" s="75" t="n">
        <v>5.66</v>
      </c>
      <c r="E22" s="45" t="n">
        <f aca="false">(D22-AVERAGE(D$21:D$57))^2</f>
        <v>3.01601111111111</v>
      </c>
      <c r="F22" s="46" t="n">
        <f aca="false">IF(C22&lt;$D$10,$D$11,LOG((10^$D$13)/(1+((10^$D$13/10^$D$11)-1)*EXP(-$D$12*(C22-$D$10)))))</f>
        <v>5.63795533398926</v>
      </c>
      <c r="G22" s="28" t="n">
        <f aca="false">(D22-F22)^2</f>
        <v>0.000485967299524961</v>
      </c>
      <c r="M22" s="10"/>
      <c r="N22" s="43" t="n">
        <v>3</v>
      </c>
      <c r="O22" s="75" t="n">
        <v>5.66</v>
      </c>
      <c r="P22" s="45" t="n">
        <f aca="false">(O22-AVERAGE(O$21:O$57))^2</f>
        <v>3.01601111111111</v>
      </c>
      <c r="Q22" s="46" t="n">
        <f aca="false">IF(N22&lt;O$10,O$11,LOG((10^O$13)/(1+((10^O$13/10^O$11)-1)*EXP(-O$12*(N22-O$10)))))</f>
        <v>5.63795533393594</v>
      </c>
      <c r="R22" s="28" t="n">
        <f aca="false">(O22-Q22)^2</f>
        <v>0.000485967301876079</v>
      </c>
      <c r="Y22" s="10"/>
      <c r="Z22" s="42" t="n">
        <v>6.00000000005821</v>
      </c>
      <c r="AA22" s="47"/>
    </row>
    <row r="23" customFormat="false" ht="15" hidden="false" customHeight="false" outlineLevel="0" collapsed="false">
      <c r="A23" s="0" t="n">
        <f aca="false">B24/D23</f>
        <v>0</v>
      </c>
      <c r="B23" s="0" t="n">
        <v>0</v>
      </c>
      <c r="C23" s="43" t="n">
        <v>6</v>
      </c>
      <c r="D23" s="75" t="n">
        <v>6.14</v>
      </c>
      <c r="E23" s="45" t="n">
        <f aca="false">(D23-AVERAGE(D$21:D$57))^2</f>
        <v>1.57921111111111</v>
      </c>
      <c r="F23" s="46" t="n">
        <f aca="false">IF(C23&lt;$D$10,$D$11,LOG((10^$D$13)/(1+((10^$D$13/10^$D$11)-1)*EXP(-$D$12*(C23-$D$10)))))</f>
        <v>6.12224130114521</v>
      </c>
      <c r="G23" s="28" t="n">
        <f aca="false">(D23-F23)^2</f>
        <v>0.000315371385015016</v>
      </c>
      <c r="M23" s="10"/>
      <c r="N23" s="43" t="n">
        <v>6</v>
      </c>
      <c r="O23" s="75" t="n">
        <v>6.14</v>
      </c>
      <c r="P23" s="45" t="n">
        <f aca="false">(O23-AVERAGE(O$21:O$57))^2</f>
        <v>1.57921111111111</v>
      </c>
      <c r="Q23" s="46" t="n">
        <f aca="false">IF(N23&lt;O$10,O$11,LOG((10^O$13)/(1+((10^O$13/10^O$11)-1)*EXP(-O$12*(N23-O$10)))))</f>
        <v>6.12224130110993</v>
      </c>
      <c r="R23" s="28" t="n">
        <f aca="false">(O23-Q23)^2</f>
        <v>0.000315371386268204</v>
      </c>
      <c r="Y23" s="10"/>
      <c r="Z23" s="42" t="n">
        <v>9.00000000005821</v>
      </c>
      <c r="AA23" s="47"/>
    </row>
    <row r="24" customFormat="false" ht="15" hidden="false" customHeight="false" outlineLevel="0" collapsed="false">
      <c r="A24" s="0" t="n">
        <f aca="false">B25/D24</f>
        <v>0</v>
      </c>
      <c r="B24" s="0" t="n">
        <v>0</v>
      </c>
      <c r="C24" s="43" t="n">
        <v>9</v>
      </c>
      <c r="D24" s="75" t="n">
        <v>6.57</v>
      </c>
      <c r="E24" s="45" t="n">
        <f aca="false">(D24-AVERAGE(D$21:D$57))^2</f>
        <v>0.683377777777779</v>
      </c>
      <c r="F24" s="46" t="n">
        <f aca="false">IF(C24&lt;$D$10,$D$11,LOG((10^$D$13)/(1+((10^$D$13/10^$D$11)-1)*EXP(-$D$12*(C24-$D$10)))))</f>
        <v>6.60254933601388</v>
      </c>
      <c r="G24" s="28" t="n">
        <f aca="false">(D24-F24)^2</f>
        <v>0.00105945927494454</v>
      </c>
      <c r="M24" s="10"/>
      <c r="N24" s="43" t="n">
        <v>9</v>
      </c>
      <c r="O24" s="75" t="n">
        <v>6.57</v>
      </c>
      <c r="P24" s="45" t="n">
        <f aca="false">(O24-AVERAGE(O$21:O$57))^2</f>
        <v>0.683377777777779</v>
      </c>
      <c r="Q24" s="46" t="n">
        <f aca="false">IF(N24&lt;O$10,O$11,LOG((10^O$13)/(1+((10^O$13/10^O$11)-1)*EXP(-O$12*(N24-O$10)))))</f>
        <v>6.60254933599641</v>
      </c>
      <c r="R24" s="28" t="n">
        <f aca="false">(O24-Q24)^2</f>
        <v>0.001059459273807</v>
      </c>
      <c r="Y24" s="10"/>
      <c r="Z24" s="42" t="n">
        <v>12.1666666667443</v>
      </c>
      <c r="AA24" s="42" t="n">
        <v>6.94448267215017</v>
      </c>
    </row>
    <row r="25" customFormat="false" ht="15" hidden="false" customHeight="false" outlineLevel="0" collapsed="false">
      <c r="A25" s="0" t="e">
        <f aca="false">B26/#REF!</f>
        <v>#REF!</v>
      </c>
      <c r="B25" s="0" t="n">
        <v>0</v>
      </c>
      <c r="C25" s="43" t="n">
        <v>12.17</v>
      </c>
      <c r="D25" s="75" t="n">
        <v>7.08</v>
      </c>
      <c r="E25" s="45" t="n">
        <f aca="false">(D25-AVERAGE(D$21:D$57))^2</f>
        <v>0.100277777777778</v>
      </c>
      <c r="F25" s="46" t="n">
        <f aca="false">IF(C25&lt;$D$10,$D$11,LOG((10^$D$13)/(1+((10^$D$13/10^$D$11)-1)*EXP(-$D$12*(C25-$D$10)))))</f>
        <v>7.09697650977458</v>
      </c>
      <c r="G25" s="28" t="n">
        <f aca="false">(D25-F25)^2</f>
        <v>0.000288201884126395</v>
      </c>
      <c r="M25" s="10"/>
      <c r="N25" s="43" t="n">
        <v>12.17</v>
      </c>
      <c r="O25" s="75" t="n">
        <v>7.08</v>
      </c>
      <c r="P25" s="45" t="n">
        <f aca="false">(O25-AVERAGE(O$21:O$57))^2</f>
        <v>0.100277777777778</v>
      </c>
      <c r="Q25" s="46" t="n">
        <f aca="false">IF(N25&lt;O$10,O$11,LOG((10^O$13)/(1+((10^O$13/10^O$11)-1)*EXP(-O$12*(N25-O$10)))))</f>
        <v>7.09697650977463</v>
      </c>
      <c r="R25" s="28" t="n">
        <f aca="false">(O25-Q25)^2</f>
        <v>0.000288201884128083</v>
      </c>
      <c r="Y25" s="10"/>
      <c r="Z25" s="42" t="n">
        <v>24.1666666667443</v>
      </c>
      <c r="AA25" s="42"/>
    </row>
    <row r="26" customFormat="false" ht="15" hidden="false" customHeight="false" outlineLevel="0" collapsed="false">
      <c r="A26" s="0" t="n">
        <f aca="false">B27/D25</f>
        <v>0.318615003219103</v>
      </c>
      <c r="B26" s="0" t="n">
        <v>0</v>
      </c>
      <c r="C26" s="43" t="n">
        <v>24.17</v>
      </c>
      <c r="D26" s="75" t="n">
        <v>8.3</v>
      </c>
      <c r="E26" s="45" t="n">
        <f aca="false">(D26-AVERAGE(D$21:D$57))^2</f>
        <v>0.816011111111111</v>
      </c>
      <c r="F26" s="46" t="n">
        <f aca="false">IF(C26&lt;$D$10,$D$11,LOG((10^$D$13)/(1+((10^$D$13/10^$D$11)-1)*EXP(-$D$12*(C26-$D$10)))))</f>
        <v>8.23062368389379</v>
      </c>
      <c r="G26" s="28" t="n">
        <f aca="false">(D26-F26)^2</f>
        <v>0.00481307323646874</v>
      </c>
      <c r="M26" s="10"/>
      <c r="N26" s="43" t="n">
        <v>24.17</v>
      </c>
      <c r="O26" s="75" t="n">
        <v>8.3</v>
      </c>
      <c r="P26" s="45" t="n">
        <f aca="false">(O26-AVERAGE(O$21:O$57))^2</f>
        <v>0.816011111111111</v>
      </c>
      <c r="Q26" s="46" t="n">
        <f aca="false">IF(N26&lt;O$10,O$11,LOG((10^O$13)/(1+((10^O$13/10^O$11)-1)*EXP(-O$12*(N26-O$10)))))</f>
        <v>8.23062368388292</v>
      </c>
      <c r="R26" s="28" t="n">
        <f aca="false">(O26-Q26)^2</f>
        <v>0.00481307323797741</v>
      </c>
      <c r="Y26" s="10"/>
      <c r="Z26" s="42" t="n">
        <v>27.0833333333139</v>
      </c>
      <c r="AA26" s="47"/>
    </row>
    <row r="27" customFormat="false" ht="15" hidden="false" customHeight="false" outlineLevel="0" collapsed="false">
      <c r="A27" s="0" t="n">
        <f aca="false">B28/D26</f>
        <v>0.0374811737803366</v>
      </c>
      <c r="B27" s="0" t="n">
        <v>2.25579422279125</v>
      </c>
      <c r="C27" s="43" t="n">
        <v>27.08</v>
      </c>
      <c r="D27" s="75" t="n">
        <v>8.29</v>
      </c>
      <c r="E27" s="45" t="n">
        <f aca="false">(D27-AVERAGE(D$21:D$57))^2</f>
        <v>0.798044444444442</v>
      </c>
      <c r="F27" s="46" t="n">
        <f aca="false">IF(C27&lt;$D$10,$D$11,LOG((10^$D$13)/(1+((10^$D$13/10^$D$11)-1)*EXP(-$D$12*(C27-$D$10)))))</f>
        <v>8.27438768648097</v>
      </c>
      <c r="G27" s="28" t="n">
        <f aca="false">(D27-F27)^2</f>
        <v>0.000243744333416495</v>
      </c>
      <c r="M27" s="10"/>
      <c r="N27" s="43" t="n">
        <v>27.08</v>
      </c>
      <c r="O27" s="75" t="n">
        <v>8.29</v>
      </c>
      <c r="P27" s="45" t="n">
        <f aca="false">(O27-AVERAGE(O$21:O$57))^2</f>
        <v>0.798044444444442</v>
      </c>
      <c r="Q27" s="46" t="n">
        <f aca="false">IF(N27&lt;O$10,O$11,LOG((10^O$13)/(1+((10^O$13/10^O$11)-1)*EXP(-O$12*(N27-O$10)))))</f>
        <v>8.27438768646205</v>
      </c>
      <c r="R27" s="28" t="n">
        <f aca="false">(O27-Q27)^2</f>
        <v>0.000243744334007153</v>
      </c>
      <c r="Y27" s="10"/>
      <c r="Z27" s="42" t="n">
        <v>30.0833333333139</v>
      </c>
      <c r="AA27" s="47"/>
    </row>
    <row r="28" customFormat="false" ht="15" hidden="false" customHeight="false" outlineLevel="0" collapsed="false">
      <c r="A28" s="0" t="n">
        <f aca="false">B29/D27</f>
        <v>0.285696219992991</v>
      </c>
      <c r="B28" s="0" t="n">
        <v>0.311093742376794</v>
      </c>
      <c r="C28" s="43" t="n">
        <v>30.08</v>
      </c>
      <c r="D28" s="75" t="n">
        <v>8.38</v>
      </c>
      <c r="E28" s="45" t="n">
        <f aca="false">(D28-AVERAGE(D$21:D$57))^2</f>
        <v>0.966944444444445</v>
      </c>
      <c r="F28" s="46" t="n">
        <f aca="false">IF(C28&lt;$D$10,$D$11,LOG((10^$D$13)/(1+((10^$D$13/10^$D$11)-1)*EXP(-$D$12*(C28-$D$10)))))</f>
        <v>8.2904868647546</v>
      </c>
      <c r="G28" s="28" t="n">
        <f aca="false">(D28-F28)^2</f>
        <v>0.00801260138146142</v>
      </c>
      <c r="M28" s="10"/>
      <c r="N28" s="43" t="n">
        <v>30.08</v>
      </c>
      <c r="O28" s="75" t="n">
        <v>8.38</v>
      </c>
      <c r="P28" s="45" t="n">
        <f aca="false">(O28-AVERAGE(O$21:O$57))^2</f>
        <v>0.966944444444445</v>
      </c>
      <c r="Q28" s="46" t="n">
        <f aca="false">IF(N28&lt;O$10,O$11,LOG((10^O$13)/(1+((10^O$13/10^O$11)-1)*EXP(-O$12*(N28-O$10)))))</f>
        <v>8.29048686473185</v>
      </c>
      <c r="R28" s="28" t="n">
        <f aca="false">(O28-Q28)^2</f>
        <v>0.00801260138553423</v>
      </c>
      <c r="Y28" s="10"/>
      <c r="Z28" s="42" t="n">
        <v>33.0833333333139</v>
      </c>
      <c r="AA28" s="47"/>
    </row>
    <row r="29" customFormat="false" ht="15" hidden="false" customHeight="false" outlineLevel="0" collapsed="false">
      <c r="A29" s="0" t="n">
        <f aca="false">B30/D28</f>
        <v>0.382084096274065</v>
      </c>
      <c r="B29" s="0" t="n">
        <v>2.3684216637419</v>
      </c>
      <c r="C29" s="43" t="n">
        <v>33.08</v>
      </c>
      <c r="D29" s="75" t="n">
        <v>8.3</v>
      </c>
      <c r="E29" s="45" t="n">
        <f aca="false">(D29-AVERAGE(D$21:D$57))^2</f>
        <v>0.816011111111111</v>
      </c>
      <c r="F29" s="46" t="n">
        <f aca="false">IF(C29&lt;$D$10,$D$11,LOG((10^$D$13)/(1+((10^$D$13/10^$D$11)-1)*EXP(-$D$12*(C29-$D$10)))))</f>
        <v>8.29587364119356</v>
      </c>
      <c r="G29" s="28" t="n">
        <f aca="false">(D29-F29)^2</f>
        <v>1.70268369994847E-005</v>
      </c>
      <c r="M29" s="10"/>
      <c r="N29" s="43" t="n">
        <v>33.08</v>
      </c>
      <c r="O29" s="75" t="n">
        <v>8.3</v>
      </c>
      <c r="P29" s="45" t="n">
        <f aca="false">(O29-AVERAGE(O$21:O$57))^2</f>
        <v>0.816011111111111</v>
      </c>
      <c r="Q29" s="46" t="n">
        <f aca="false">IF(N29&lt;O$10,O$11,LOG((10^O$13)/(1+((10^O$13/10^O$11)-1)*EXP(-O$12*(N29-O$10)))))</f>
        <v>8.29587364116927</v>
      </c>
      <c r="R29" s="28" t="n">
        <f aca="false">(O29-Q29)^2</f>
        <v>1.7026837199957E-005</v>
      </c>
      <c r="Y29" s="10"/>
      <c r="Z29" s="42" t="n">
        <v>35.8333333333721</v>
      </c>
      <c r="AA29" s="42" t="n">
        <v>8.22010808804006</v>
      </c>
    </row>
    <row r="30" customFormat="false" ht="15" hidden="false" customHeight="false" outlineLevel="0" collapsed="false">
      <c r="A30" s="0" t="n">
        <f aca="false">B31/D29</f>
        <v>0.432355695667535</v>
      </c>
      <c r="B30" s="0" t="n">
        <v>3.20186472677666</v>
      </c>
      <c r="C30" s="43" t="n">
        <v>35.83</v>
      </c>
      <c r="D30" s="75" t="n">
        <v>8.27</v>
      </c>
      <c r="E30" s="45" t="n">
        <f aca="false">(D30-AVERAGE(D$21:D$57))^2</f>
        <v>0.762711111111109</v>
      </c>
      <c r="F30" s="46" t="n">
        <f aca="false">IF(C30&lt;$D$10,$D$11,LOG((10^$D$13)/(1+((10^$D$13/10^$D$11)-1)*EXP(-$D$12*(C30-$D$10)))))</f>
        <v>8.297562314213</v>
      </c>
      <c r="G30" s="28" t="n">
        <f aca="false">(D30-F30)^2</f>
        <v>0.000759681164775954</v>
      </c>
      <c r="M30" s="10"/>
      <c r="N30" s="43" t="n">
        <v>35.83</v>
      </c>
      <c r="O30" s="75" t="n">
        <v>8.27</v>
      </c>
      <c r="P30" s="45" t="n">
        <f aca="false">(O30-AVERAGE(O$21:O$57))^2</f>
        <v>0.762711111111109</v>
      </c>
      <c r="Q30" s="46" t="n">
        <f aca="false">IF(N30&lt;O$10,O$11,LOG((10^O$13)/(1+((10^O$13/10^O$11)-1)*EXP(-O$12*(N30-O$10)))))</f>
        <v>8.29756231418815</v>
      </c>
      <c r="R30" s="28" t="n">
        <f aca="false">(O30-Q30)^2</f>
        <v>0.000759681163406235</v>
      </c>
      <c r="Y30" s="10"/>
      <c r="Z30" s="42" t="n">
        <v>48.25</v>
      </c>
      <c r="AA30" s="42" t="n">
        <v>8.35793484700045</v>
      </c>
    </row>
    <row r="31" customFormat="false" ht="15" hidden="false" customHeight="false" outlineLevel="0" collapsed="false">
      <c r="A31" s="0" t="n">
        <f aca="false">B32/D30</f>
        <v>0.467063165701787</v>
      </c>
      <c r="B31" s="0" t="n">
        <v>3.58855227404054</v>
      </c>
      <c r="C31" s="43" t="n">
        <v>48.25</v>
      </c>
      <c r="D31" s="75" t="n">
        <v>8.19</v>
      </c>
      <c r="E31" s="45" t="n">
        <f aca="false">(D31-AVERAGE(D$21:D$57))^2</f>
        <v>0.629377777777776</v>
      </c>
      <c r="F31" s="46" t="n">
        <f aca="false">IF(C31&lt;$D$10,$D$11,LOG((10^$D$13)/(1+((10^$D$13/10^$D$11)-1)*EXP(-$D$12*(C31-$D$10)))))</f>
        <v>8.29849899163016</v>
      </c>
      <c r="G31" s="28" t="n">
        <f aca="false">(D31-F31)^2</f>
        <v>0.0117720311847616</v>
      </c>
      <c r="M31" s="10"/>
      <c r="N31" s="43" t="n">
        <v>48.25</v>
      </c>
      <c r="O31" s="75" t="n">
        <v>8.19</v>
      </c>
      <c r="P31" s="45" t="n">
        <f aca="false">(O31-AVERAGE(O$21:O$57))^2</f>
        <v>0.629377777777776</v>
      </c>
      <c r="Q31" s="46" t="n">
        <f aca="false">IF(N31&lt;O$10,O$11,LOG((10^O$13)/(1+((10^O$13/10^O$11)-1)*EXP(-O$12*(N31-O$10)))))</f>
        <v>8.29849899160495</v>
      </c>
      <c r="R31" s="28" t="n">
        <f aca="false">(O31-Q31)^2</f>
        <v>0.011772031179291</v>
      </c>
      <c r="Y31" s="10"/>
      <c r="Z31" s="42" t="n">
        <v>54.0833333333139</v>
      </c>
      <c r="AA31" s="42" t="n">
        <v>8.40483371661994</v>
      </c>
    </row>
    <row r="32" customFormat="false" ht="15" hidden="false" customHeight="false" outlineLevel="0" collapsed="false">
      <c r="A32" s="0" t="e">
        <f aca="false">#REF!/D32</f>
        <v>#REF!</v>
      </c>
      <c r="B32" s="0" t="n">
        <v>3.86261238035378</v>
      </c>
      <c r="C32" s="43" t="n">
        <v>54.08</v>
      </c>
      <c r="D32" s="75" t="n">
        <v>8.27</v>
      </c>
      <c r="E32" s="45" t="n">
        <f aca="false">(D32-AVERAGE(D$21:D$57))^2</f>
        <v>0.762711111111109</v>
      </c>
      <c r="F32" s="46" t="n">
        <f aca="false">IF(C32&lt;$D$10,$D$11,LOG((10^$D$13)/(1+((10^$D$13/10^$D$11)-1)*EXP(-$D$12*(C32-$D$10)))))</f>
        <v>8.29850713742708</v>
      </c>
      <c r="G32" s="28" t="n">
        <f aca="false">(D32-F32)^2</f>
        <v>0.000812656884286463</v>
      </c>
      <c r="M32" s="10"/>
      <c r="N32" s="43" t="n">
        <v>54.08</v>
      </c>
      <c r="O32" s="75" t="n">
        <v>8.27</v>
      </c>
      <c r="P32" s="45" t="n">
        <f aca="false">(O32-AVERAGE(O$21:O$57))^2</f>
        <v>0.762711111111109</v>
      </c>
      <c r="Q32" s="46" t="n">
        <f aca="false">IF(N32&lt;O$10,O$11,LOG((10^O$13)/(1+((10^O$13/10^O$11)-1)*EXP(-O$12*(N32-O$10)))))</f>
        <v>8.29850713740187</v>
      </c>
      <c r="R32" s="28" t="n">
        <f aca="false">(O32-Q32)^2</f>
        <v>0.000812656882848928</v>
      </c>
      <c r="Y32" s="10"/>
    </row>
    <row r="33" customFormat="false" ht="15" hidden="false" customHeight="false" outlineLevel="0" collapsed="false">
      <c r="C33" s="43"/>
      <c r="D33" s="48"/>
      <c r="E33" s="45"/>
      <c r="F33" s="46"/>
      <c r="G33" s="28"/>
      <c r="M33" s="10"/>
      <c r="N33" s="43"/>
      <c r="O33" s="48"/>
      <c r="P33" s="45"/>
      <c r="Q33" s="46"/>
      <c r="R33" s="28"/>
      <c r="Y33" s="10"/>
    </row>
    <row r="34" customFormat="false" ht="15" hidden="false" customHeight="false" outlineLevel="0" collapsed="false">
      <c r="C34" s="43"/>
      <c r="D34" s="48"/>
      <c r="E34" s="45"/>
      <c r="F34" s="46"/>
      <c r="G34" s="28"/>
      <c r="M34" s="10"/>
      <c r="N34" s="43"/>
      <c r="O34" s="48"/>
      <c r="P34" s="45"/>
      <c r="Q34" s="46"/>
      <c r="R34" s="28"/>
      <c r="Y34" s="10"/>
    </row>
    <row r="35" customFormat="false" ht="15" hidden="false" customHeight="false" outlineLevel="0" collapsed="false">
      <c r="C35" s="43"/>
      <c r="D35" s="48"/>
      <c r="E35" s="45"/>
      <c r="F35" s="46"/>
      <c r="G35" s="28"/>
      <c r="M35" s="10"/>
      <c r="N35" s="43"/>
      <c r="O35" s="10"/>
      <c r="P35" s="45"/>
      <c r="Q35" s="46"/>
      <c r="R35" s="28"/>
      <c r="Y35" s="10"/>
    </row>
    <row r="36" customFormat="false" ht="15" hidden="false" customHeight="false" outlineLevel="0" collapsed="false">
      <c r="C36" s="43"/>
      <c r="D36" s="48"/>
      <c r="E36" s="45"/>
      <c r="F36" s="46"/>
      <c r="G36" s="28"/>
      <c r="N36" s="43"/>
      <c r="O36" s="10"/>
      <c r="Q36" s="28"/>
      <c r="X36" s="10"/>
    </row>
    <row r="37" customFormat="false" ht="15" hidden="false" customHeight="false" outlineLevel="0" collapsed="false">
      <c r="C37" s="43"/>
      <c r="D37" s="48"/>
      <c r="E37" s="45"/>
      <c r="F37" s="46"/>
      <c r="G37" s="28"/>
      <c r="N37" s="43"/>
      <c r="O37" s="10"/>
      <c r="Q37" s="28"/>
      <c r="X37" s="10"/>
    </row>
    <row r="38" customFormat="false" ht="15" hidden="false" customHeight="false" outlineLevel="0" collapsed="false">
      <c r="C38" s="43"/>
      <c r="D38" s="48"/>
      <c r="E38" s="45"/>
      <c r="F38" s="46"/>
      <c r="G38" s="28"/>
      <c r="N38" s="43"/>
      <c r="O38" s="10"/>
      <c r="Q38" s="28"/>
      <c r="X38" s="10"/>
    </row>
    <row r="39" customFormat="false" ht="15" hidden="false" customHeight="false" outlineLevel="0" collapsed="false">
      <c r="C39" s="43"/>
      <c r="D39" s="48"/>
      <c r="E39" s="45"/>
      <c r="F39" s="46"/>
      <c r="G39" s="28"/>
      <c r="N39" s="43"/>
      <c r="O39" s="10"/>
      <c r="Q39" s="28"/>
      <c r="X39" s="10"/>
    </row>
    <row r="40" customFormat="false" ht="15" hidden="false" customHeight="false" outlineLevel="0" collapsed="false">
      <c r="C40" s="43"/>
      <c r="D40" s="48"/>
      <c r="E40" s="45"/>
      <c r="F40" s="46"/>
      <c r="G40" s="28"/>
      <c r="N40" s="43"/>
      <c r="O40" s="10"/>
      <c r="Q40" s="28"/>
      <c r="X40" s="10"/>
    </row>
    <row r="41" customFormat="false" ht="15" hidden="false" customHeight="false" outlineLevel="0" collapsed="false">
      <c r="C41" s="43"/>
      <c r="D41" s="48"/>
      <c r="E41" s="45"/>
      <c r="F41" s="46"/>
      <c r="G41" s="28"/>
      <c r="N41" s="43"/>
      <c r="O41" s="10"/>
      <c r="Q41" s="28"/>
      <c r="X41" s="10"/>
    </row>
    <row r="42" customFormat="false" ht="15" hidden="false" customHeight="false" outlineLevel="0" collapsed="false">
      <c r="C42" s="43"/>
      <c r="D42" s="48"/>
      <c r="E42" s="45"/>
      <c r="F42" s="46"/>
      <c r="G42" s="28"/>
      <c r="N42" s="43"/>
      <c r="O42" s="10"/>
      <c r="Q42" s="28"/>
      <c r="X42" s="10"/>
    </row>
    <row r="43" customFormat="false" ht="15" hidden="false" customHeight="false" outlineLevel="0" collapsed="false">
      <c r="C43" s="43"/>
      <c r="D43" s="48"/>
      <c r="E43" s="45"/>
      <c r="F43" s="46"/>
      <c r="G43" s="28"/>
      <c r="N43" s="43"/>
      <c r="O43" s="10"/>
      <c r="Q43" s="28"/>
      <c r="X43" s="10"/>
    </row>
    <row r="44" customFormat="false" ht="15" hidden="false" customHeight="false" outlineLevel="0" collapsed="false">
      <c r="C44" s="43"/>
      <c r="D44" s="48"/>
      <c r="E44" s="45"/>
      <c r="F44" s="46"/>
      <c r="G44" s="28"/>
      <c r="N44" s="43"/>
      <c r="O44" s="10"/>
      <c r="Q44" s="28"/>
      <c r="X44" s="10"/>
    </row>
    <row r="45" customFormat="false" ht="15" hidden="false" customHeight="false" outlineLevel="0" collapsed="false">
      <c r="C45" s="43"/>
      <c r="D45" s="48"/>
      <c r="E45" s="45"/>
      <c r="F45" s="46"/>
      <c r="G45" s="28"/>
      <c r="N45" s="43"/>
      <c r="O45" s="10"/>
      <c r="Q45" s="28"/>
      <c r="X45" s="10"/>
    </row>
    <row r="46" customFormat="false" ht="15" hidden="false" customHeight="false" outlineLevel="0" collapsed="false">
      <c r="C46" s="43"/>
      <c r="D46" s="48"/>
      <c r="E46" s="45"/>
      <c r="F46" s="46"/>
      <c r="G46" s="28"/>
      <c r="N46" s="43"/>
      <c r="O46" s="10"/>
      <c r="Q46" s="28"/>
      <c r="X46" s="10"/>
    </row>
    <row r="47" customFormat="false" ht="15" hidden="false" customHeight="false" outlineLevel="0" collapsed="false">
      <c r="C47" s="43"/>
      <c r="D47" s="48"/>
      <c r="E47" s="45"/>
      <c r="F47" s="46"/>
      <c r="G47" s="28"/>
      <c r="N47" s="43"/>
      <c r="O47" s="10"/>
      <c r="Q47" s="28"/>
      <c r="X47" s="10"/>
    </row>
    <row r="48" customFormat="false" ht="15" hidden="false" customHeight="false" outlineLevel="0" collapsed="false">
      <c r="C48" s="43"/>
      <c r="D48" s="48"/>
      <c r="E48" s="45"/>
      <c r="F48" s="46"/>
      <c r="G48" s="28"/>
      <c r="N48" s="43"/>
      <c r="O48" s="10"/>
      <c r="Q48" s="28"/>
      <c r="X48" s="10"/>
    </row>
    <row r="49" customFormat="false" ht="15" hidden="false" customHeight="false" outlineLevel="0" collapsed="false">
      <c r="C49" s="43"/>
      <c r="D49" s="48"/>
      <c r="E49" s="45"/>
      <c r="F49" s="46"/>
      <c r="G49" s="28"/>
      <c r="N49" s="43"/>
      <c r="O49" s="10"/>
      <c r="Q49" s="28"/>
      <c r="X49" s="10"/>
    </row>
    <row r="50" customFormat="false" ht="15" hidden="false" customHeight="false" outlineLevel="0" collapsed="false">
      <c r="C50" s="43"/>
      <c r="D50" s="48"/>
      <c r="E50" s="45"/>
      <c r="F50" s="46"/>
      <c r="G50" s="28"/>
      <c r="N50" s="43"/>
      <c r="O50" s="10"/>
      <c r="Q50" s="28"/>
      <c r="X50" s="10"/>
    </row>
    <row r="51" customFormat="false" ht="15" hidden="false" customHeight="false" outlineLevel="0" collapsed="false">
      <c r="C51" s="43"/>
      <c r="D51" s="48"/>
      <c r="E51" s="45"/>
      <c r="F51" s="46"/>
      <c r="G51" s="28"/>
      <c r="N51" s="43"/>
      <c r="O51" s="10"/>
      <c r="Q51" s="28"/>
      <c r="X51" s="10"/>
    </row>
    <row r="52" customFormat="false" ht="15" hidden="false" customHeight="false" outlineLevel="0" collapsed="false">
      <c r="C52" s="43"/>
      <c r="D52" s="48"/>
      <c r="E52" s="45"/>
      <c r="F52" s="46"/>
      <c r="G52" s="28"/>
      <c r="N52" s="43"/>
      <c r="O52" s="10"/>
      <c r="Q52" s="28"/>
      <c r="X52" s="10"/>
    </row>
    <row r="53" customFormat="false" ht="15" hidden="false" customHeight="false" outlineLevel="0" collapsed="false">
      <c r="C53" s="43"/>
      <c r="D53" s="48"/>
      <c r="E53" s="45"/>
      <c r="F53" s="46"/>
      <c r="G53" s="28"/>
      <c r="M53" s="10"/>
      <c r="N53" s="43"/>
      <c r="O53" s="48"/>
      <c r="P53" s="45"/>
      <c r="Q53" s="46"/>
      <c r="R53" s="28"/>
      <c r="Y53" s="10"/>
    </row>
    <row r="54" customFormat="false" ht="15" hidden="false" customHeight="false" outlineLevel="0" collapsed="false">
      <c r="C54" s="43"/>
      <c r="D54" s="48"/>
      <c r="E54" s="45"/>
      <c r="F54" s="46"/>
      <c r="G54" s="28"/>
      <c r="M54" s="10"/>
      <c r="N54" s="43"/>
      <c r="O54" s="48"/>
      <c r="P54" s="45"/>
      <c r="Q54" s="46"/>
      <c r="R54" s="28"/>
      <c r="Y54" s="10"/>
    </row>
    <row r="55" customFormat="false" ht="15" hidden="false" customHeight="false" outlineLevel="0" collapsed="false">
      <c r="C55" s="43"/>
      <c r="D55" s="48"/>
      <c r="E55" s="45"/>
      <c r="F55" s="46"/>
      <c r="G55" s="28"/>
      <c r="M55" s="10"/>
      <c r="N55" s="43"/>
      <c r="O55" s="48"/>
      <c r="P55" s="45"/>
      <c r="Q55" s="46"/>
      <c r="R55" s="28"/>
      <c r="Y55" s="10"/>
    </row>
    <row r="56" customFormat="false" ht="15" hidden="false" customHeight="false" outlineLevel="0" collapsed="false">
      <c r="C56" s="43"/>
      <c r="D56" s="48"/>
      <c r="E56" s="45"/>
      <c r="F56" s="46"/>
      <c r="G56" s="28"/>
      <c r="M56" s="10"/>
      <c r="N56" s="43"/>
      <c r="O56" s="48"/>
      <c r="P56" s="45"/>
      <c r="Q56" s="46"/>
      <c r="R56" s="28"/>
      <c r="Y56" s="10"/>
    </row>
    <row r="57" customFormat="false" ht="15" hidden="false" customHeight="false" outlineLevel="0" collapsed="false">
      <c r="C57" s="43"/>
      <c r="D57" s="48"/>
      <c r="E57" s="45"/>
      <c r="F57" s="46"/>
      <c r="G57" s="28"/>
      <c r="M57" s="10"/>
      <c r="N57" s="43"/>
      <c r="O57" s="48"/>
      <c r="P57" s="45"/>
      <c r="Q57" s="46"/>
      <c r="R57" s="28"/>
      <c r="Y57" s="10"/>
    </row>
    <row r="58" customFormat="false" ht="15.75" hidden="false" customHeight="false" outlineLevel="0" collapsed="false">
      <c r="C58" s="49"/>
      <c r="D58" s="50" t="s">
        <v>21</v>
      </c>
      <c r="E58" s="50" t="n">
        <f aca="false">SUM(E21:E57)</f>
        <v>15.2848666666667</v>
      </c>
      <c r="F58" s="51"/>
      <c r="G58" s="51"/>
      <c r="H58" s="51"/>
      <c r="I58" s="51"/>
      <c r="J58" s="51"/>
      <c r="K58" s="51"/>
      <c r="L58" s="51"/>
      <c r="M58" s="52"/>
      <c r="N58" s="49"/>
      <c r="O58" s="53" t="s">
        <v>21</v>
      </c>
      <c r="P58" s="54" t="n">
        <f aca="false">SUM(P21:P57)</f>
        <v>15.2848666666667</v>
      </c>
      <c r="Q58" s="51"/>
      <c r="R58" s="51"/>
      <c r="S58" s="51"/>
      <c r="T58" s="51"/>
      <c r="U58" s="51"/>
      <c r="V58" s="51"/>
      <c r="W58" s="51"/>
      <c r="X58" s="51"/>
      <c r="Y58" s="52"/>
    </row>
    <row r="59" customFormat="false" ht="20.25" hidden="false" customHeight="false" outlineLevel="0" collapsed="false">
      <c r="F59" s="55" t="s">
        <v>38</v>
      </c>
    </row>
    <row r="60" customFormat="false" ht="15.75" hidden="false" customHeight="false" outlineLevel="0" collapsed="false">
      <c r="K60" s="56" t="s">
        <v>39</v>
      </c>
      <c r="L60" s="57" t="n">
        <f aca="false">($I$62-$I$65)/($I$63-$I$66)/($I$65/$I$66)</f>
        <v>4.96913258847748E-013</v>
      </c>
    </row>
    <row r="61" customFormat="false" ht="15.75" hidden="false" customHeight="false" outlineLevel="0" collapsed="false">
      <c r="H61" s="58"/>
      <c r="I61" s="58" t="s">
        <v>40</v>
      </c>
      <c r="K61" s="58"/>
      <c r="L61" s="59"/>
    </row>
    <row r="62" customFormat="false" ht="15.75" hidden="false" customHeight="false" outlineLevel="0" collapsed="false">
      <c r="G62" s="58"/>
      <c r="H62" s="58" t="s">
        <v>41</v>
      </c>
      <c r="I62" s="60" t="n">
        <f aca="false">P11</f>
        <v>0.02859826028421</v>
      </c>
      <c r="K62" s="61" t="s">
        <v>42</v>
      </c>
      <c r="L62" s="61" t="n">
        <f aca="false">_xlfn.F.INV.RT(0.05,1,I66)</f>
        <v>5.31765507157871</v>
      </c>
    </row>
    <row r="63" customFormat="false" ht="15.75" hidden="false" customHeight="false" outlineLevel="0" collapsed="false">
      <c r="G63" s="58"/>
      <c r="H63" s="58" t="s">
        <v>43</v>
      </c>
      <c r="I63" s="62" t="n">
        <f aca="false">$U$6-$U$8</f>
        <v>9</v>
      </c>
      <c r="K63" s="61" t="s">
        <v>44</v>
      </c>
      <c r="L63" s="61" t="n">
        <f aca="false">_xlfn.F.INV.RT(0.01,1,I66)</f>
        <v>11.2586241432726</v>
      </c>
    </row>
    <row r="64" customFormat="false" ht="15.75" hidden="false" customHeight="false" outlineLevel="0" collapsed="false">
      <c r="G64" s="58"/>
      <c r="H64" s="58"/>
      <c r="I64" s="58" t="s">
        <v>45</v>
      </c>
    </row>
    <row r="65" customFormat="false" ht="26.25" hidden="false" customHeight="false" outlineLevel="0" collapsed="false">
      <c r="G65" s="58"/>
      <c r="H65" s="58" t="s">
        <v>46</v>
      </c>
      <c r="I65" s="60" t="n">
        <f aca="false">E11</f>
        <v>0.0285982602842082</v>
      </c>
      <c r="K65" s="63" t="s">
        <v>47</v>
      </c>
    </row>
    <row r="66" customFormat="false" ht="15.75" hidden="false" customHeight="false" outlineLevel="0" collapsed="false">
      <c r="H66" s="58" t="s">
        <v>48</v>
      </c>
      <c r="I66" s="62" t="n">
        <f aca="false">$H$6-$H$8</f>
        <v>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3:AD66"/>
  <sheetViews>
    <sheetView showFormulas="false" showGridLines="true" showRowColHeaders="true" showZeros="true" rightToLeft="false" tabSelected="false" showOutlineSymbols="true" defaultGridColor="true" view="normal" topLeftCell="M4" colorId="64" zoomScale="85" zoomScaleNormal="85" zoomScalePageLayoutView="100" workbookViewId="0">
      <selection pane="topLeft" activeCell="W38" activeCellId="0" sqref="W38"/>
    </sheetView>
  </sheetViews>
  <sheetFormatPr defaultColWidth="11.42578125" defaultRowHeight="15" zeroHeight="false" outlineLevelRow="0" outlineLevelCol="0"/>
  <cols>
    <col collapsed="false" customWidth="true" hidden="true" outlineLevel="0" max="12" min="1" style="0" width="11.53"/>
  </cols>
  <sheetData>
    <row r="3" customFormat="false" ht="45.75" hidden="false" customHeight="false" outlineLevel="0" collapsed="false">
      <c r="B3" s="1"/>
    </row>
    <row r="4" customFormat="false" ht="15.75" hidden="false" customHeight="false" outlineLevel="0" collapsed="false">
      <c r="B4" s="2" t="s">
        <v>0</v>
      </c>
      <c r="C4" s="3"/>
      <c r="D4" s="3"/>
      <c r="E4" s="4"/>
      <c r="F4" s="4"/>
      <c r="G4" s="4"/>
      <c r="H4" s="4"/>
      <c r="I4" s="4"/>
      <c r="J4" s="4"/>
      <c r="K4" s="4"/>
      <c r="L4" s="5"/>
      <c r="M4" s="6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5"/>
    </row>
    <row r="5" customFormat="false" ht="16.5" hidden="false" customHeight="false" outlineLevel="0" collapsed="false">
      <c r="B5" s="7" t="s">
        <v>1</v>
      </c>
      <c r="C5" s="8"/>
      <c r="D5" s="8"/>
      <c r="G5" s="9" t="s">
        <v>2</v>
      </c>
      <c r="K5" s="9" t="s">
        <v>3</v>
      </c>
      <c r="L5" s="10"/>
      <c r="M5" s="7" t="s">
        <v>4</v>
      </c>
      <c r="W5" s="8"/>
      <c r="X5" s="9" t="s">
        <v>2</v>
      </c>
      <c r="Z5" s="9" t="s">
        <v>5</v>
      </c>
      <c r="AB5" s="10"/>
    </row>
    <row r="6" customFormat="false" ht="17.25" hidden="false" customHeight="false" outlineLevel="0" collapsed="false">
      <c r="B6" s="11" t="s">
        <v>49</v>
      </c>
      <c r="C6" s="12" t="s">
        <v>50</v>
      </c>
      <c r="D6" s="13"/>
      <c r="E6" s="14"/>
      <c r="F6" s="14"/>
      <c r="G6" s="15" t="n">
        <f aca="false">COUNT(F21:F36)</f>
        <v>12</v>
      </c>
      <c r="L6" s="10"/>
      <c r="M6" s="16"/>
      <c r="N6" s="12" t="s">
        <v>8</v>
      </c>
      <c r="O6" s="14"/>
      <c r="P6" s="12"/>
      <c r="Q6" s="12"/>
      <c r="R6" s="12"/>
      <c r="W6" s="8"/>
      <c r="X6" s="15" t="n">
        <f aca="false">COUNT(S21:S32)</f>
        <v>12</v>
      </c>
      <c r="AB6" s="10"/>
    </row>
    <row r="7" customFormat="false" ht="17.25" hidden="false" customHeight="false" outlineLevel="0" collapsed="false">
      <c r="B7" s="11" t="s">
        <v>51</v>
      </c>
      <c r="C7" s="12" t="s">
        <v>52</v>
      </c>
      <c r="D7" s="13"/>
      <c r="E7" s="14"/>
      <c r="F7" s="14"/>
      <c r="G7" s="9" t="s">
        <v>11</v>
      </c>
      <c r="L7" s="10"/>
      <c r="M7" s="16"/>
      <c r="N7" s="12" t="s">
        <v>52</v>
      </c>
      <c r="X7" s="9" t="s">
        <v>11</v>
      </c>
      <c r="AB7" s="10"/>
    </row>
    <row r="8" customFormat="false" ht="15.75" hidden="false" customHeight="false" outlineLevel="0" collapsed="false">
      <c r="B8" s="16"/>
      <c r="E8" s="17"/>
      <c r="F8" s="17"/>
      <c r="G8" s="15" t="n">
        <f aca="false">COUNT(C10:C13)</f>
        <v>4</v>
      </c>
      <c r="L8" s="10"/>
      <c r="M8" s="16"/>
      <c r="X8" s="15" t="n">
        <f aca="false">COUNT(N11:N13)</f>
        <v>3</v>
      </c>
      <c r="AB8" s="10"/>
    </row>
    <row r="9" customFormat="false" ht="15.75" hidden="false" customHeight="false" outlineLevel="0" collapsed="false">
      <c r="B9" s="18" t="s">
        <v>12</v>
      </c>
      <c r="G9" s="19" t="s">
        <v>13</v>
      </c>
      <c r="L9" s="10"/>
      <c r="M9" s="18" t="s">
        <v>12</v>
      </c>
      <c r="P9" s="8"/>
      <c r="Q9" s="8"/>
      <c r="X9" s="19" t="s">
        <v>13</v>
      </c>
      <c r="AB9" s="10"/>
    </row>
    <row r="10" customFormat="false" ht="15.75" hidden="false" customHeight="false" outlineLevel="0" collapsed="false">
      <c r="B10" s="20" t="s">
        <v>14</v>
      </c>
      <c r="C10" s="24" t="n">
        <v>0.972171369313439</v>
      </c>
      <c r="D10" s="22" t="s">
        <v>15</v>
      </c>
      <c r="G10" s="23" t="n">
        <f aca="false">D11/(G6-G8)</f>
        <v>0.0741074071308843</v>
      </c>
      <c r="L10" s="10"/>
      <c r="M10" s="20" t="s">
        <v>16</v>
      </c>
      <c r="N10" s="24" t="n">
        <v>0</v>
      </c>
      <c r="O10" s="22" t="s">
        <v>15</v>
      </c>
      <c r="X10" s="23" t="n">
        <f aca="false">O11/(X6-X8)</f>
        <v>0.056948283219344</v>
      </c>
      <c r="AB10" s="10"/>
    </row>
    <row r="11" customFormat="false" ht="17.25" hidden="false" customHeight="false" outlineLevel="0" collapsed="false">
      <c r="B11" s="25" t="s">
        <v>17</v>
      </c>
      <c r="C11" s="64" t="n">
        <v>5.19587650623435</v>
      </c>
      <c r="D11" s="27" t="n">
        <f aca="false">SUM(F21:F57)</f>
        <v>0.592859257047074</v>
      </c>
      <c r="G11" s="28"/>
      <c r="L11" s="10"/>
      <c r="M11" s="25" t="s">
        <v>17</v>
      </c>
      <c r="N11" s="26" t="n">
        <v>5.15235517575142</v>
      </c>
      <c r="O11" s="27" t="n">
        <f aca="false">SUM(S21:S45)</f>
        <v>0.512534548974096</v>
      </c>
      <c r="X11" s="28"/>
      <c r="AB11" s="10"/>
    </row>
    <row r="12" customFormat="false" ht="17.25" hidden="false" customHeight="false" outlineLevel="0" collapsed="false">
      <c r="B12" s="25" t="s">
        <v>18</v>
      </c>
      <c r="C12" s="64" t="n">
        <v>0.364136545809149</v>
      </c>
      <c r="D12" s="22" t="s">
        <v>19</v>
      </c>
      <c r="G12" s="19" t="s">
        <v>20</v>
      </c>
      <c r="I12" s="9" t="s">
        <v>21</v>
      </c>
      <c r="L12" s="10"/>
      <c r="M12" s="25" t="s">
        <v>22</v>
      </c>
      <c r="N12" s="26" t="n">
        <v>0.373202851507825</v>
      </c>
      <c r="O12" s="22" t="s">
        <v>19</v>
      </c>
      <c r="X12" s="19" t="s">
        <v>20</v>
      </c>
      <c r="Z12" s="9" t="s">
        <v>21</v>
      </c>
      <c r="AB12" s="10"/>
    </row>
    <row r="13" customFormat="false" ht="17.25" hidden="false" customHeight="false" outlineLevel="0" collapsed="false">
      <c r="B13" s="29" t="s">
        <v>23</v>
      </c>
      <c r="C13" s="65" t="n">
        <v>8.06445389424692</v>
      </c>
      <c r="D13" s="31" t="n">
        <f aca="false">SQRT(D11/(COUNT(F21:F57)-G8))</f>
        <v>0.272226756823947</v>
      </c>
      <c r="G13" s="23" t="n">
        <f aca="false">1-D11/I13</f>
        <v>0.958256397700636</v>
      </c>
      <c r="I13" s="23" t="n">
        <f aca="false">D58</f>
        <v>14.2023980775639</v>
      </c>
      <c r="L13" s="10"/>
      <c r="M13" s="29" t="s">
        <v>23</v>
      </c>
      <c r="N13" s="30" t="n">
        <v>8.29850818054376</v>
      </c>
      <c r="O13" s="32" t="n">
        <f aca="false">SQRT(O11/(COUNT(R21:R45)-X8))</f>
        <v>0.23863839426912</v>
      </c>
      <c r="X13" s="23" t="n">
        <f aca="false">1-O11/Z13</f>
        <v>0.966467842988004</v>
      </c>
      <c r="Z13" s="23" t="n">
        <f aca="false">O58</f>
        <v>15.2848666666667</v>
      </c>
      <c r="AB13" s="10"/>
    </row>
    <row r="14" customFormat="false" ht="15.75" hidden="false" customHeight="false" outlineLevel="0" collapsed="false">
      <c r="B14" s="16" t="s">
        <v>24</v>
      </c>
      <c r="C14" s="66" t="n">
        <v>1.42200555937544</v>
      </c>
      <c r="E14" s="33"/>
      <c r="F14" s="34"/>
      <c r="G14" s="19" t="s">
        <v>25</v>
      </c>
      <c r="L14" s="10"/>
      <c r="M14" s="16" t="s">
        <v>53</v>
      </c>
      <c r="N14" s="66" t="n">
        <v>1.34923228178395</v>
      </c>
      <c r="X14" s="19" t="s">
        <v>25</v>
      </c>
      <c r="AB14" s="10"/>
    </row>
    <row r="15" customFormat="false" ht="15.75" hidden="false" customHeight="false" outlineLevel="0" collapsed="false">
      <c r="B15" s="16" t="s">
        <v>54</v>
      </c>
      <c r="C15" s="66" t="n">
        <v>17.211582999633</v>
      </c>
      <c r="E15" s="33"/>
      <c r="F15" s="34"/>
      <c r="G15" s="23" t="n">
        <f aca="false">(((G6-1)*G13)-(G8+1))/(G6-G8)</f>
        <v>0.692602546838375</v>
      </c>
      <c r="L15" s="10"/>
      <c r="M15" s="16" t="s">
        <v>54</v>
      </c>
      <c r="N15" s="66" t="n">
        <v>17.5062063721615</v>
      </c>
      <c r="X15" s="23" t="n">
        <f aca="false">(((X6-1)*X13)-(X8+1))/(X6-X8)</f>
        <v>0.736794030318671</v>
      </c>
      <c r="AB15" s="10"/>
    </row>
    <row r="16" customFormat="false" ht="18.75" hidden="false" customHeight="false" outlineLevel="0" collapsed="false">
      <c r="B16" s="16" t="s">
        <v>55</v>
      </c>
      <c r="C16" s="66" t="n">
        <v>0</v>
      </c>
      <c r="E16" s="33"/>
      <c r="F16" s="34"/>
      <c r="H16" s="35" t="s">
        <v>26</v>
      </c>
      <c r="I16" s="36"/>
      <c r="L16" s="10"/>
      <c r="M16" s="16" t="s">
        <v>55</v>
      </c>
      <c r="N16" s="66" t="n">
        <v>0</v>
      </c>
      <c r="Y16" s="35" t="s">
        <v>26</v>
      </c>
      <c r="Z16" s="36"/>
      <c r="AB16" s="10"/>
    </row>
    <row r="17" customFormat="false" ht="15.75" hidden="false" customHeight="false" outlineLevel="0" collapsed="false">
      <c r="B17" s="16"/>
      <c r="E17" s="33"/>
      <c r="F17" s="34"/>
      <c r="H17" s="23" t="n">
        <f aca="false">1-(1-G13)*((G6-1)/(G6-(G8-1)-1))</f>
        <v>0.942602546838375</v>
      </c>
      <c r="L17" s="10"/>
      <c r="M17" s="16"/>
      <c r="Y17" s="23" t="n">
        <f aca="false">1-(1-X13)*((X6-1)/(X6-(X8-1)-1))</f>
        <v>0.959016252540893</v>
      </c>
      <c r="AB17" s="10"/>
    </row>
    <row r="18" customFormat="false" ht="15" hidden="false" customHeight="false" outlineLevel="0" collapsed="false">
      <c r="B18" s="16"/>
      <c r="E18" s="33"/>
      <c r="F18" s="34"/>
      <c r="G18" s="17"/>
      <c r="H18" s="8"/>
      <c r="L18" s="10"/>
      <c r="M18" s="16"/>
      <c r="AB18" s="10"/>
    </row>
    <row r="19" customFormat="false" ht="15" hidden="false" customHeight="false" outlineLevel="0" collapsed="false">
      <c r="B19" s="18" t="s">
        <v>27</v>
      </c>
      <c r="E19" s="37" t="s">
        <v>28</v>
      </c>
      <c r="H19" s="37" t="s">
        <v>29</v>
      </c>
      <c r="L19" s="10"/>
      <c r="M19" s="18" t="s">
        <v>27</v>
      </c>
      <c r="O19" s="37" t="s">
        <v>56</v>
      </c>
      <c r="Q19" s="37" t="s">
        <v>57</v>
      </c>
      <c r="R19" s="37" t="s">
        <v>58</v>
      </c>
      <c r="W19" s="37" t="s">
        <v>29</v>
      </c>
      <c r="AB19" s="10"/>
    </row>
    <row r="20" customFormat="false" ht="15.75" hidden="false" customHeight="false" outlineLevel="0" collapsed="false">
      <c r="A20" s="0" t="s">
        <v>30</v>
      </c>
      <c r="B20" s="38" t="s">
        <v>32</v>
      </c>
      <c r="C20" s="39" t="s">
        <v>33</v>
      </c>
      <c r="D20" s="40" t="s">
        <v>34</v>
      </c>
      <c r="E20" s="40" t="s">
        <v>33</v>
      </c>
      <c r="F20" s="40" t="s">
        <v>35</v>
      </c>
      <c r="G20" s="67" t="s">
        <v>59</v>
      </c>
      <c r="L20" s="10"/>
      <c r="M20" s="41" t="s">
        <v>36</v>
      </c>
      <c r="N20" s="39" t="s">
        <v>60</v>
      </c>
      <c r="O20" s="40" t="s">
        <v>34</v>
      </c>
      <c r="P20" s="40" t="s">
        <v>33</v>
      </c>
      <c r="Q20" s="68" t="s">
        <v>61</v>
      </c>
      <c r="R20" s="40" t="s">
        <v>59</v>
      </c>
      <c r="S20" s="40" t="s">
        <v>35</v>
      </c>
      <c r="U20" s="67"/>
      <c r="V20" s="67"/>
      <c r="AB20" s="10"/>
      <c r="AC20" s="69"/>
      <c r="AD20" s="69"/>
    </row>
    <row r="21" customFormat="false" ht="15" hidden="false" customHeight="false" outlineLevel="0" collapsed="false">
      <c r="A21" s="0" t="n">
        <f aca="false">Q21/C21</f>
        <v>-0.0191373683314009</v>
      </c>
      <c r="B21" s="70" t="n">
        <v>1</v>
      </c>
      <c r="C21" s="71" t="n">
        <v>5.12710479836481</v>
      </c>
      <c r="D21" s="45" t="n">
        <f aca="false">(C21-AVERAGE(C$21:C$57))^2</f>
        <v>4.31990658629041</v>
      </c>
      <c r="E21" s="46" t="n">
        <f aca="false">IF(B21&lt;$C$10,$C$11,LOG((10^$C$13)/(1+((10^$C$13/10^$C$11)-1)*EXP(-$C$12*(B21-$C$10)))))</f>
        <v>5.20027140890088</v>
      </c>
      <c r="F21" s="28" t="n">
        <f aca="false">(Q21-G21)^2</f>
        <v>0.00962739565881985</v>
      </c>
      <c r="G21" s="0" t="n">
        <f aca="false">IF(B21&lt;$C$15,$C$16,$C$14*(LOG((10^$C$13)/(1+((10^$C$13/10^$C$11)-1)*EXP(-$C$12*(B21-$C$15))))-$C$11))</f>
        <v>0</v>
      </c>
      <c r="L21" s="10"/>
      <c r="M21" s="43" t="n">
        <v>1</v>
      </c>
      <c r="N21" s="75" t="n">
        <v>5.31</v>
      </c>
      <c r="O21" s="45" t="n">
        <f aca="false">(N21-AVERAGE(N$21:N$57))^2</f>
        <v>4.35417777777778</v>
      </c>
      <c r="P21" s="46" t="n">
        <f aca="false">IF(M21&lt;N$10,N$11,LOG((10^N$13)/(1+((10^N$13/10^N$11)-1)*EXP(-N$12*(M21-N$10)))))</f>
        <v>5.31429481290229</v>
      </c>
      <c r="Q21" s="72" t="n">
        <v>-0.098119293</v>
      </c>
      <c r="R21" s="73" t="n">
        <f aca="false">IF(M21&lt;$N$15,$N$16,$N$14*(LOG((10^$N$13)/(1+((10^$N$13/10^$N$11)-1)*EXP(-$N$12*(M21-$N$15))))-$N$11))</f>
        <v>0</v>
      </c>
      <c r="S21" s="28" t="n">
        <f aca="false">(Q21-R21)^2</f>
        <v>0.00962739565881985</v>
      </c>
      <c r="U21" s="73"/>
      <c r="V21" s="73"/>
      <c r="AB21" s="10"/>
      <c r="AC21" s="69"/>
    </row>
    <row r="22" customFormat="false" ht="15" hidden="false" customHeight="false" outlineLevel="0" collapsed="false">
      <c r="A22" s="0" t="n">
        <f aca="false">Q22/C22</f>
        <v>0.00391100409597292</v>
      </c>
      <c r="B22" s="43" t="n">
        <v>3.25</v>
      </c>
      <c r="C22" s="48" t="n">
        <v>5.62940959910272</v>
      </c>
      <c r="D22" s="45" t="n">
        <f aca="false">(C22-AVERAGE(C$21:C$57))^2</f>
        <v>2.48419742885587</v>
      </c>
      <c r="E22" s="46" t="n">
        <f aca="false">IF(B22&lt;$C$10,$C$11,LOG((10^$C$13)/(1+((10^$C$13/10^$C$11)-1)*EXP(-$C$12*(B22-$C$10)))))</f>
        <v>5.55533924725384</v>
      </c>
      <c r="F22" s="28" t="n">
        <f aca="false">(Q22-G22)^2</f>
        <v>0.000484732613022736</v>
      </c>
      <c r="G22" s="0" t="n">
        <f aca="false">IF(B22&lt;$C$15,$C$16,$C$14*(LOG((10^$C$13)/(1+((10^$C$13/10^$C$11)-1)*EXP(-$C$12*(B22-$C$15))))-$C$11))</f>
        <v>0</v>
      </c>
      <c r="L22" s="10"/>
      <c r="M22" s="43" t="n">
        <v>3.25</v>
      </c>
      <c r="N22" s="75" t="n">
        <v>5.66</v>
      </c>
      <c r="O22" s="45" t="n">
        <f aca="false">(N22-AVERAGE(N$21:N$57))^2</f>
        <v>3.01601111111111</v>
      </c>
      <c r="P22" s="46" t="n">
        <f aca="false">IF(M22&lt;N$10,N$11,LOG((10^N$13)/(1+((10^N$13/10^N$11)-1)*EXP(-N$12*(M22-N$10)))))</f>
        <v>5.67838253161001</v>
      </c>
      <c r="Q22" s="72" t="n">
        <v>0.022016644</v>
      </c>
      <c r="R22" s="74" t="n">
        <f aca="false">IF(M22&lt;$N$15,$N$16,$N$14*(LOG((10^$N$13)/(1+((10^$N$13/10^$N$11)-1)*EXP(-$N$12*(M22-$N$15))))-$N$11))</f>
        <v>0</v>
      </c>
      <c r="S22" s="28" t="n">
        <f aca="false">(Q22-R22)^2</f>
        <v>0.000484732613022736</v>
      </c>
      <c r="AB22" s="10"/>
      <c r="AC22" s="69"/>
    </row>
    <row r="23" customFormat="false" ht="15" hidden="false" customHeight="false" outlineLevel="0" collapsed="false">
      <c r="A23" s="0" t="n">
        <f aca="false">Q23/C23</f>
        <v>0.00117557388515892</v>
      </c>
      <c r="B23" s="43" t="n">
        <v>6.00000000005821</v>
      </c>
      <c r="C23" s="48" t="n">
        <v>5.95424250943933</v>
      </c>
      <c r="D23" s="45" t="n">
        <f aca="false">(C23-AVERAGE(C$21:C$57))^2</f>
        <v>1.56575365714598</v>
      </c>
      <c r="E23" s="46" t="n">
        <f aca="false">IF(B23&lt;$C$10,$C$11,LOG((10^$C$13)/(1+((10^$C$13/10^$C$11)-1)*EXP(-$C$12*(B23-$C$10)))))</f>
        <v>5.98792141344128</v>
      </c>
      <c r="F23" s="28" t="n">
        <f aca="false">(Q23-G23)^2</f>
        <v>4.8995128121104E-005</v>
      </c>
      <c r="G23" s="0" t="n">
        <f aca="false">IF(B23&lt;$C$15,$C$16,$C$14*(LOG((10^$C$13)/(1+((10^$C$13/10^$C$11)-1)*EXP(-$C$12*(B23-$C$15))))-$C$11))</f>
        <v>0</v>
      </c>
      <c r="L23" s="10"/>
      <c r="M23" s="43" t="n">
        <v>6</v>
      </c>
      <c r="N23" s="75" t="n">
        <v>6.14</v>
      </c>
      <c r="O23" s="45" t="n">
        <f aca="false">(N23-AVERAGE(N$21:N$57))^2</f>
        <v>1.57921111111111</v>
      </c>
      <c r="P23" s="46" t="n">
        <f aca="false">IF(M23&lt;N$10,N$11,LOG((10^N$13)/(1+((10^N$13/10^N$11)-1)*EXP(-N$12*(M23-N$10)))))</f>
        <v>6.12224130110993</v>
      </c>
      <c r="Q23" s="72" t="n">
        <v>0.006999652</v>
      </c>
      <c r="R23" s="74" t="n">
        <f aca="false">IF(M23&lt;$N$15,$N$16,$N$14*(LOG((10^$N$13)/(1+((10^$N$13/10^$N$11)-1)*EXP(-$N$12*(M23-$N$15))))-$N$11))</f>
        <v>0</v>
      </c>
      <c r="S23" s="28" t="n">
        <f aca="false">(Q23-R23)^2</f>
        <v>4.8995128121104E-005</v>
      </c>
      <c r="AB23" s="10"/>
      <c r="AC23" s="69"/>
    </row>
    <row r="24" customFormat="false" ht="15" hidden="false" customHeight="false" outlineLevel="0" collapsed="false">
      <c r="A24" s="0" t="n">
        <f aca="false">Q24/C24</f>
        <v>0.0102805374704849</v>
      </c>
      <c r="B24" s="43" t="n">
        <v>9.00000000005821</v>
      </c>
      <c r="C24" s="48" t="n">
        <v>6.52374646681157</v>
      </c>
      <c r="D24" s="45" t="n">
        <f aca="false">(C24-AVERAGE(C$21:C$57))^2</f>
        <v>0.464846915582319</v>
      </c>
      <c r="E24" s="46" t="n">
        <f aca="false">IF(B24&lt;$C$10,$C$11,LOG((10^$C$13)/(1+((10^$C$13/10^$C$11)-1)*EXP(-$C$12*(B24-$C$10)))))</f>
        <v>6.45519319125769</v>
      </c>
      <c r="F24" s="28" t="n">
        <f aca="false">(Q24-G24)^2</f>
        <v>0.0044980656524644</v>
      </c>
      <c r="G24" s="0" t="n">
        <f aca="false">IF(B24&lt;$C$15,$C$16,$C$14*(LOG((10^$C$13)/(1+((10^$C$13/10^$C$11)-1)*EXP(-$C$12*(B24-$C$15))))-$C$11))</f>
        <v>0</v>
      </c>
      <c r="L24" s="10"/>
      <c r="M24" s="43" t="n">
        <v>9</v>
      </c>
      <c r="N24" s="75" t="n">
        <v>6.57</v>
      </c>
      <c r="O24" s="45" t="n">
        <f aca="false">(N24-AVERAGE(N$21:N$57))^2</f>
        <v>0.683377777777779</v>
      </c>
      <c r="P24" s="46" t="n">
        <f aca="false">IF(M24&lt;N$10,N$11,LOG((10^N$13)/(1+((10^N$13/10^N$11)-1)*EXP(-N$12*(M24-N$10)))))</f>
        <v>6.60254933599641</v>
      </c>
      <c r="Q24" s="72" t="n">
        <v>0.06706762</v>
      </c>
      <c r="R24" s="74" t="n">
        <f aca="false">IF(M24&lt;$N$15,$N$16,$N$14*(LOG((10^$N$13)/(1+((10^$N$13/10^$N$11)-1)*EXP(-$N$12*(M24-$N$15))))-$N$11))</f>
        <v>0</v>
      </c>
      <c r="S24" s="28" t="n">
        <f aca="false">(Q24-R24)^2</f>
        <v>0.0044980656524644</v>
      </c>
      <c r="AB24" s="10"/>
      <c r="AC24" s="69"/>
      <c r="AD24" s="69"/>
    </row>
    <row r="25" customFormat="false" ht="15" hidden="false" customHeight="false" outlineLevel="0" collapsed="false">
      <c r="A25" s="0" t="n">
        <f aca="false">Q25/C25</f>
        <v>-0.00389322856094411</v>
      </c>
      <c r="B25" s="43" t="n">
        <v>12.0000000000582</v>
      </c>
      <c r="C25" s="48" t="n">
        <v>6.88081359228079</v>
      </c>
      <c r="D25" s="45" t="n">
        <f aca="false">(C25-AVERAGE(C$21:C$57))^2</f>
        <v>0.105449380139838</v>
      </c>
      <c r="E25" s="46" t="n">
        <f aca="false">IF(B25&lt;$C$10,$C$11,LOG((10^$C$13)/(1+((10^$C$13/10^$C$11)-1)*EXP(-$C$12*(B25-$C$10)))))</f>
        <v>6.90896041887477</v>
      </c>
      <c r="F25" s="28" t="n">
        <f aca="false">(Q25-G25)^2</f>
        <v>0.0007176280184164</v>
      </c>
      <c r="G25" s="0" t="n">
        <f aca="false">IF(B25&lt;$C$15,$C$16,$C$14*(LOG((10^$C$13)/(1+((10^$C$13/10^$C$11)-1)*EXP(-$C$12*(B25-$C$15))))-$C$11))</f>
        <v>0</v>
      </c>
      <c r="L25" s="10"/>
      <c r="M25" s="43" t="n">
        <v>12</v>
      </c>
      <c r="N25" s="75" t="n">
        <v>7.08</v>
      </c>
      <c r="O25" s="45" t="n">
        <f aca="false">(N25-AVERAGE(N$21:N$57))^2</f>
        <v>0.100277777777778</v>
      </c>
      <c r="P25" s="46" t="n">
        <f aca="false">IF(M25&lt;N$10,N$11,LOG((10^N$13)/(1+((10^N$13/10^N$11)-1)*EXP(-N$12*(M25-N$10)))))</f>
        <v>7.07110475442557</v>
      </c>
      <c r="Q25" s="72" t="n">
        <v>-0.02678858</v>
      </c>
      <c r="R25" s="74" t="n">
        <f aca="false">IF(M25&lt;$N$15,$N$16,$N$14*(LOG((10^$N$13)/(1+((10^$N$13/10^$N$11)-1)*EXP(-$N$12*(M25-$N$15))))-$N$11))</f>
        <v>0</v>
      </c>
      <c r="S25" s="28" t="n">
        <f aca="false">(Q25-R25)^2</f>
        <v>0.0007176280184164</v>
      </c>
      <c r="AB25" s="10"/>
      <c r="AC25" s="69"/>
      <c r="AD25" s="69"/>
    </row>
    <row r="26" customFormat="false" ht="15" hidden="false" customHeight="false" outlineLevel="0" collapsed="false">
      <c r="A26" s="0" t="n">
        <f aca="false">Q26/C26</f>
        <v>0.166968714985523</v>
      </c>
      <c r="B26" s="43" t="n">
        <v>24.4166666666861</v>
      </c>
      <c r="C26" s="48" t="n">
        <v>8.11394335230684</v>
      </c>
      <c r="D26" s="45" t="n">
        <f aca="false">(C26-AVERAGE(C$21:C$57))^2</f>
        <v>0.825190663243023</v>
      </c>
      <c r="E26" s="46" t="n">
        <f aca="false">IF(B26&lt;$C$10,$C$11,LOG((10^$C$13)/(1+((10^$C$13/10^$C$11)-1)*EXP(-$C$12*(B26-$C$10)))))</f>
        <v>8.00576856091372</v>
      </c>
      <c r="F26" s="28" t="n">
        <f aca="false">(Q26-G26)^2</f>
        <v>0.064977012334348</v>
      </c>
      <c r="G26" s="0" t="n">
        <f aca="false">IF(B26&lt;$C$15,$C$16,$C$14*(LOG((10^$C$13)/(1+((10^$C$13/10^$C$11)-1)*EXP(-$C$12*(B26-$C$15))))-$C$11))</f>
        <v>1.60968058417157</v>
      </c>
      <c r="L26" s="10"/>
      <c r="M26" s="43" t="n">
        <v>24.42</v>
      </c>
      <c r="N26" s="75" t="n">
        <v>8.3</v>
      </c>
      <c r="O26" s="45" t="n">
        <f aca="false">(N26-AVERAGE(N$21:N$57))^2</f>
        <v>0.816011111111111</v>
      </c>
      <c r="P26" s="46" t="n">
        <f aca="false">IF(M26&lt;N$10,N$11,LOG((10^N$13)/(1+((10^N$13/10^N$11)-1)*EXP(-N$12*(M26-N$10)))))</f>
        <v>8.23625833655454</v>
      </c>
      <c r="Q26" s="72" t="n">
        <v>1.354774695</v>
      </c>
      <c r="R26" s="0" t="n">
        <f aca="false">IF(M26&lt;$N$15,$N$16,$N$14*(LOG((10^$N$13)/(1+((10^$N$13/10^$N$11)-1)*EXP(-$N$12*(M26-$N$15))))-$N$11))</f>
        <v>1.50684847637068</v>
      </c>
      <c r="S26" s="28" t="n">
        <f aca="false">(Q26-R26)^2</f>
        <v>0.0231264349803775</v>
      </c>
      <c r="AB26" s="10"/>
      <c r="AC26" s="69"/>
    </row>
    <row r="27" customFormat="false" ht="15" hidden="false" customHeight="false" outlineLevel="0" collapsed="false">
      <c r="A27" s="0" t="n">
        <f aca="false">Q27/C27</f>
        <v>0.276804182897317</v>
      </c>
      <c r="B27" s="43" t="n">
        <v>27.25</v>
      </c>
      <c r="C27" s="48" t="n">
        <v>7.57978359661681</v>
      </c>
      <c r="D27" s="45" t="n">
        <f aca="false">(C27-AVERAGE(C$21:C$57))^2</f>
        <v>0.14005580299498</v>
      </c>
      <c r="E27" s="46" t="n">
        <f aca="false">IF(B27&lt;$C$10,$C$11,LOG((10^$C$13)/(1+((10^$C$13/10^$C$11)-1)*EXP(-$C$12*(B27-$C$10)))))</f>
        <v>8.04261812058601</v>
      </c>
      <c r="F27" s="28" t="n">
        <f aca="false">(Q27-G27)^2</f>
        <v>0.0165381645289306</v>
      </c>
      <c r="G27" s="0" t="n">
        <f aca="false">IF(B27&lt;$C$15,$C$16,$C$14*(LOG((10^$C$13)/(1+((10^$C$13/10^$C$11)-1)*EXP(-$C$12*(B27-$C$15))))-$C$11))</f>
        <v>2.22671660021111</v>
      </c>
      <c r="L27" s="10"/>
      <c r="M27" s="43" t="n">
        <v>27.25</v>
      </c>
      <c r="N27" s="75" t="n">
        <v>8.29</v>
      </c>
      <c r="O27" s="45" t="n">
        <f aca="false">(N27-AVERAGE(N$21:N$57))^2</f>
        <v>0.798044444444442</v>
      </c>
      <c r="P27" s="46" t="n">
        <f aca="false">IF(M27&lt;N$10,N$11,LOG((10^N$13)/(1+((10^N$13/10^N$11)-1)*EXP(-N$12*(M27-N$10)))))</f>
        <v>8.27583244031749</v>
      </c>
      <c r="Q27" s="72" t="n">
        <v>2.098115805</v>
      </c>
      <c r="R27" s="0" t="n">
        <f aca="false">IF(M27&lt;$N$15,$N$16,$N$14*(LOG((10^$N$13)/(1+((10^$N$13/10^$N$11)-1)*EXP(-$N$12*(M27-$N$15))))-$N$11))</f>
        <v>2.11554072226393</v>
      </c>
      <c r="S27" s="28" t="n">
        <f aca="false">(Q27-R27)^2</f>
        <v>0.000303627741654845</v>
      </c>
      <c r="AB27" s="10"/>
      <c r="AC27" s="69"/>
    </row>
    <row r="28" customFormat="false" ht="15" hidden="false" customHeight="false" outlineLevel="0" collapsed="false">
      <c r="A28" s="0" t="n">
        <f aca="false">Q28/C28</f>
        <v>0.401643467676902</v>
      </c>
      <c r="B28" s="43" t="n">
        <v>30.0000000000582</v>
      </c>
      <c r="C28" s="48" t="n">
        <v>8.09342168516224</v>
      </c>
      <c r="D28" s="45" t="n">
        <f aca="false">(C28-AVERAGE(C$21:C$57))^2</f>
        <v>0.788328034864742</v>
      </c>
      <c r="E28" s="46" t="n">
        <f aca="false">IF(B28&lt;$C$10,$C$11,LOG((10^$C$13)/(1+((10^$C$13/10^$C$11)-1)*EXP(-$C$12*(B28-$C$10)))))</f>
        <v>8.05630386861232</v>
      </c>
      <c r="F28" s="28" t="n">
        <f aca="false">(Q28-G28)^2</f>
        <v>0.208261637115875</v>
      </c>
      <c r="G28" s="0" t="n">
        <f aca="false">IF(B28&lt;$C$15,$C$16,$C$14*(LOG((10^$C$13)/(1+((10^$C$13/10^$C$11)-1)*EXP(-$C$12*(B28-$C$15))))-$C$11))</f>
        <v>2.79431303244187</v>
      </c>
      <c r="L28" s="10"/>
      <c r="M28" s="43" t="n">
        <v>30</v>
      </c>
      <c r="N28" s="75" t="n">
        <v>8.38</v>
      </c>
      <c r="O28" s="45" t="n">
        <f aca="false">(N28-AVERAGE(N$21:N$57))^2</f>
        <v>0.966944444444445</v>
      </c>
      <c r="P28" s="46" t="n">
        <f aca="false">IF(M28&lt;N$10,N$11,LOG((10^N$13)/(1+((10^N$13/10^N$11)-1)*EXP(-N$12*(M28-N$10)))))</f>
        <v>8.29024606555745</v>
      </c>
      <c r="Q28" s="72" t="n">
        <v>3.250669951</v>
      </c>
      <c r="R28" s="0" t="n">
        <f aca="false">IF(M28&lt;$N$15,$N$16,$N$14*(LOG((10^$N$13)/(1+((10^$N$13/10^$N$11)-1)*EXP(-$N$12*(M28-$N$15))))-$N$11))</f>
        <v>2.68984107046676</v>
      </c>
      <c r="S28" s="28" t="n">
        <f aca="false">(Q28-R28)^2</f>
        <v>0.314529033240165</v>
      </c>
      <c r="AB28" s="10"/>
      <c r="AC28" s="69"/>
    </row>
    <row r="29" customFormat="false" ht="15" hidden="false" customHeight="false" outlineLevel="0" collapsed="false">
      <c r="A29" s="0" t="n">
        <f aca="false">Q29/C29</f>
        <v>0.376130940338985</v>
      </c>
      <c r="B29" s="43" t="n">
        <v>33.0000000000582</v>
      </c>
      <c r="C29" s="48" t="n">
        <v>8.09342168516224</v>
      </c>
      <c r="D29" s="45" t="n">
        <f aca="false">(C29-AVERAGE(C$21:C$57))^2</f>
        <v>0.788328034864742</v>
      </c>
      <c r="E29" s="46" t="n">
        <f aca="false">IF(B29&lt;$C$10,$C$11,LOG((10^$C$13)/(1+((10^$C$13/10^$C$11)-1)*EXP(-$C$12*(B29-$C$10)))))</f>
        <v>8.06170323478475</v>
      </c>
      <c r="F29" s="28" t="n">
        <f aca="false">(Q29-G29)^2</f>
        <v>0.083075700891748</v>
      </c>
      <c r="G29" s="0" t="n">
        <f aca="false">IF(B29&lt;$C$15,$C$16,$C$14*(LOG((10^$C$13)/(1+((10^$C$13/10^$C$11)-1)*EXP(-$C$12*(B29-$C$15))))-$C$11))</f>
        <v>3.33241486569026</v>
      </c>
      <c r="L29" s="10"/>
      <c r="M29" s="43" t="n">
        <v>33</v>
      </c>
      <c r="N29" s="75" t="n">
        <v>8.3</v>
      </c>
      <c r="O29" s="45" t="n">
        <f aca="false">(N29-AVERAGE(N$21:N$57))^2</f>
        <v>0.816011111111111</v>
      </c>
      <c r="P29" s="46" t="n">
        <f aca="false">IF(M29&lt;N$10,N$11,LOG((10^N$13)/(1+((10^N$13/10^N$11)-1)*EXP(-N$12*(M29-N$10)))))</f>
        <v>8.29579404676066</v>
      </c>
      <c r="Q29" s="72" t="n">
        <v>3.044186309</v>
      </c>
      <c r="R29" s="0" t="n">
        <f aca="false">IF(M29&lt;$N$15,$N$16,$N$14*(LOG((10^$N$13)/(1+((10^$N$13/10^$N$11)-1)*EXP(-$N$12*(M29-$N$15))))-$N$11))</f>
        <v>3.26642536616368</v>
      </c>
      <c r="S29" s="28" t="n">
        <f aca="false">(Q29-R29)^2</f>
        <v>0.0493901985290027</v>
      </c>
      <c r="AB29" s="10"/>
      <c r="AC29" s="69"/>
      <c r="AD29" s="69"/>
    </row>
    <row r="30" customFormat="false" ht="15" hidden="false" customHeight="false" outlineLevel="0" collapsed="false">
      <c r="A30" s="0" t="n">
        <f aca="false">Q30/C30</f>
        <v>0.421691433246703</v>
      </c>
      <c r="B30" s="43" t="n">
        <v>35.8333333333721</v>
      </c>
      <c r="C30" s="48" t="n">
        <v>8.10037054511756</v>
      </c>
      <c r="D30" s="45" t="n">
        <f aca="false">(C30-AVERAGE(C$21:C$57))^2</f>
        <v>0.800715806693948</v>
      </c>
      <c r="E30" s="46" t="n">
        <f aca="false">IF(B30&lt;$C$10,$C$11,LOG((10^$C$13)/(1+((10^$C$13/10^$C$11)-1)*EXP(-$C$12*(B30-$C$10)))))</f>
        <v>8.06347157820443</v>
      </c>
      <c r="F30" s="28" t="n">
        <f aca="false">(Q30-G30)^2</f>
        <v>0.0826385553115188</v>
      </c>
      <c r="G30" s="0" t="n">
        <f aca="false">IF(B30&lt;$C$15,$C$16,$C$14*(LOG((10^$C$13)/(1+((10^$C$13/10^$C$11)-1)*EXP(-$C$12*(B30-$C$15))))-$C$11))</f>
        <v>3.70332608998159</v>
      </c>
      <c r="L30" s="10"/>
      <c r="M30" s="43" t="n">
        <v>35.83</v>
      </c>
      <c r="N30" s="75" t="n">
        <v>8.27</v>
      </c>
      <c r="O30" s="45" t="n">
        <f aca="false">(N30-AVERAGE(N$21:N$57))^2</f>
        <v>0.762711111111109</v>
      </c>
      <c r="P30" s="46" t="n">
        <f aca="false">IF(M30&lt;N$10,N$11,LOG((10^N$13)/(1+((10^N$13/10^N$11)-1)*EXP(-N$12*(M30-N$10)))))</f>
        <v>8.29756231418815</v>
      </c>
      <c r="Q30" s="72" t="n">
        <v>3.415856865</v>
      </c>
      <c r="R30" s="0" t="n">
        <f aca="false">IF(M30&lt;$N$15,$N$16,$N$14*(LOG((10^$N$13)/(1+((10^$N$13/10^$N$11)-1)*EXP(-$N$12*(M30-$N$15))))-$N$11))</f>
        <v>3.70811361227811</v>
      </c>
      <c r="S30" s="28" t="n">
        <f aca="false">(Q30-R30)^2</f>
        <v>0.0854140063295835</v>
      </c>
      <c r="AB30" s="10"/>
      <c r="AC30" s="69"/>
      <c r="AD30" s="69"/>
    </row>
    <row r="31" customFormat="false" ht="15" hidden="false" customHeight="false" outlineLevel="0" collapsed="false">
      <c r="A31" s="0" t="n">
        <f aca="false">Q31/C31</f>
        <v>0.537554549167546</v>
      </c>
      <c r="B31" s="43" t="n">
        <v>48.5000000001164</v>
      </c>
      <c r="C31" s="48" t="n">
        <v>8.17026171539496</v>
      </c>
      <c r="D31" s="45" t="n">
        <f aca="false">(C31-AVERAGE(C$21:C$57))^2</f>
        <v>0.930681629723236</v>
      </c>
      <c r="E31" s="46" t="n">
        <f aca="false">IF(B31&lt;$C$10,$C$11,LOG((10^$C$13)/(1+((10^$C$13/10^$C$11)-1)*EXP(-$C$12*(B31-$C$10)))))</f>
        <v>8.06444413088548</v>
      </c>
      <c r="F31" s="28" t="n">
        <f aca="false">(Q31-G31)^2</f>
        <v>0.101087988805599</v>
      </c>
      <c r="G31" s="0" t="n">
        <f aca="false">IF(B31&lt;$C$15,$C$16,$C$14*(LOG((10^$C$13)/(1+((10^$C$13/10^$C$11)-1)*EXP(-$C$12*(B31-$C$15))))-$C$11))</f>
        <v>4.07401797941659</v>
      </c>
      <c r="L31" s="10"/>
      <c r="M31" s="43" t="n">
        <v>48.5</v>
      </c>
      <c r="N31" s="75" t="n">
        <v>8.19</v>
      </c>
      <c r="O31" s="45" t="n">
        <f aca="false">(N31-AVERAGE(N$21:N$57))^2</f>
        <v>0.629377777777776</v>
      </c>
      <c r="P31" s="46" t="n">
        <f aca="false">IF(M31&lt;N$10,N$11,LOG((10^N$13)/(1+((10^N$13/10^N$11)-1)*EXP(-N$12*(M31-N$10)))))</f>
        <v>8.29849981015201</v>
      </c>
      <c r="Q31" s="72" t="n">
        <v>4.391961353</v>
      </c>
      <c r="R31" s="0" t="n">
        <f aca="false">IF(M31&lt;$N$15,$N$16,$N$14*(LOG((10^$N$13)/(1+((10^$N$13/10^$N$11)-1)*EXP(-$N$12*(M31-$N$15))))-$N$11))</f>
        <v>4.23717543058438</v>
      </c>
      <c r="S31" s="28" t="n">
        <f aca="false">(Q31-R31)^2</f>
        <v>0.0239586817780543</v>
      </c>
      <c r="AB31" s="10"/>
      <c r="AC31" s="69"/>
      <c r="AD31" s="69"/>
    </row>
    <row r="32" customFormat="false" ht="15" hidden="false" customHeight="false" outlineLevel="0" collapsed="false">
      <c r="A32" s="0" t="n">
        <f aca="false">Q32/C32</f>
        <v>0.515002462317073</v>
      </c>
      <c r="B32" s="43" t="n">
        <v>54.0000000000582</v>
      </c>
      <c r="C32" s="48" t="n">
        <v>8.2</v>
      </c>
      <c r="D32" s="45" t="n">
        <f aca="false">(C32-AVERAGE(C$21:C$57))^2</f>
        <v>0.988944137164802</v>
      </c>
      <c r="E32" s="46" t="n">
        <f aca="false">IF(B32&lt;$C$10,$C$11,LOG((10^$C$13)/(1+((10^$C$13/10^$C$11)-1)*EXP(-$C$12*(B32-$C$10)))))</f>
        <v>8.0644525765368</v>
      </c>
      <c r="F32" s="28" t="n">
        <f aca="false">(Q32-G32)^2</f>
        <v>0.020903380988211</v>
      </c>
      <c r="G32" s="0" t="n">
        <f aca="false">IF(B32&lt;$C$15,$C$16,$C$14*(LOG((10^$C$13)/(1+((10^$C$13/10^$C$11)-1)*EXP(-$C$12*(B32-$C$15))))-$C$11))</f>
        <v>4.07844017513262</v>
      </c>
      <c r="L32" s="10"/>
      <c r="M32" s="43" t="n">
        <v>54</v>
      </c>
      <c r="N32" s="75" t="n">
        <v>8.27</v>
      </c>
      <c r="O32" s="45" t="n">
        <f aca="false">(N32-AVERAGE(N$21:N$57))^2</f>
        <v>0.762711111111109</v>
      </c>
      <c r="P32" s="46" t="n">
        <f aca="false">IF(M32&lt;N$10,N$11,LOG((10^N$13)/(1+((10^N$13/10^N$11)-1)*EXP(-N$12*(M32-N$10)))))</f>
        <v>8.29850710578804</v>
      </c>
      <c r="Q32" s="72" t="n">
        <v>4.223020191</v>
      </c>
      <c r="R32" s="73" t="n">
        <f aca="false">IF(M32&lt;$N$15,$N$16,$N$14*(LOG((10^$N$13)/(1+((10^$N$13/10^$N$11)-1)*EXP(-$N$12*(M32-$N$15))))-$N$11))</f>
        <v>4.24389480008411</v>
      </c>
      <c r="S32" s="28" t="n">
        <f aca="false">(Q32-R32)^2</f>
        <v>0.000435749304414458</v>
      </c>
      <c r="AB32" s="10"/>
    </row>
    <row r="33" customFormat="false" ht="15" hidden="false" customHeight="false" outlineLevel="0" collapsed="false">
      <c r="B33" s="43"/>
      <c r="C33" s="48"/>
      <c r="D33" s="45"/>
      <c r="E33" s="46"/>
      <c r="F33" s="28"/>
      <c r="L33" s="10"/>
      <c r="M33" s="43"/>
      <c r="N33" s="48"/>
      <c r="O33" s="45"/>
      <c r="P33" s="46"/>
      <c r="Q33" s="46"/>
      <c r="R33" s="28"/>
      <c r="AB33" s="10"/>
    </row>
    <row r="34" customFormat="false" ht="15" hidden="false" customHeight="false" outlineLevel="0" collapsed="false">
      <c r="B34" s="43"/>
      <c r="C34" s="48"/>
      <c r="D34" s="45"/>
      <c r="E34" s="46"/>
      <c r="F34" s="28"/>
      <c r="L34" s="10"/>
      <c r="M34" s="43"/>
      <c r="N34" s="48"/>
      <c r="O34" s="45"/>
      <c r="P34" s="46"/>
      <c r="Q34" s="46"/>
      <c r="R34" s="28"/>
      <c r="AB34" s="10"/>
    </row>
    <row r="35" customFormat="false" ht="15" hidden="false" customHeight="false" outlineLevel="0" collapsed="false">
      <c r="B35" s="43"/>
      <c r="C35" s="48"/>
      <c r="D35" s="45"/>
      <c r="E35" s="46"/>
      <c r="F35" s="28"/>
      <c r="L35" s="10"/>
      <c r="M35" s="43"/>
      <c r="N35" s="48"/>
      <c r="O35" s="45"/>
      <c r="P35" s="46"/>
      <c r="Q35" s="46"/>
      <c r="R35" s="28"/>
      <c r="AB35" s="10"/>
    </row>
    <row r="36" customFormat="false" ht="15" hidden="false" customHeight="false" outlineLevel="0" collapsed="false">
      <c r="B36" s="43"/>
      <c r="C36" s="48"/>
      <c r="D36" s="45"/>
      <c r="E36" s="46"/>
      <c r="F36" s="28"/>
      <c r="L36" s="10"/>
      <c r="M36" s="43"/>
      <c r="N36" s="48"/>
      <c r="O36" s="45"/>
      <c r="P36" s="46"/>
      <c r="Q36" s="46"/>
      <c r="R36" s="28"/>
      <c r="AB36" s="10"/>
    </row>
    <row r="37" customFormat="false" ht="15" hidden="false" customHeight="false" outlineLevel="0" collapsed="false">
      <c r="B37" s="43"/>
      <c r="C37" s="48"/>
      <c r="D37" s="45"/>
      <c r="E37" s="46"/>
      <c r="F37" s="28"/>
      <c r="L37" s="10"/>
      <c r="M37" s="43"/>
      <c r="N37" s="48"/>
      <c r="O37" s="45"/>
      <c r="P37" s="46"/>
      <c r="Q37" s="46"/>
      <c r="R37" s="28"/>
      <c r="AB37" s="10"/>
    </row>
    <row r="38" customFormat="false" ht="15" hidden="false" customHeight="false" outlineLevel="0" collapsed="false">
      <c r="B38" s="43"/>
      <c r="C38" s="48"/>
      <c r="D38" s="45"/>
      <c r="E38" s="46"/>
      <c r="F38" s="28"/>
      <c r="L38" s="10"/>
      <c r="M38" s="43"/>
      <c r="N38" s="48"/>
      <c r="O38" s="45"/>
      <c r="P38" s="46"/>
      <c r="Q38" s="46"/>
      <c r="R38" s="28"/>
      <c r="AB38" s="10"/>
    </row>
    <row r="39" customFormat="false" ht="15" hidden="false" customHeight="false" outlineLevel="0" collapsed="false">
      <c r="B39" s="43"/>
      <c r="C39" s="48"/>
      <c r="D39" s="45"/>
      <c r="E39" s="46"/>
      <c r="F39" s="28"/>
      <c r="L39" s="10"/>
      <c r="M39" s="43"/>
      <c r="N39" s="48"/>
      <c r="O39" s="45"/>
      <c r="P39" s="46"/>
      <c r="Q39" s="46"/>
      <c r="R39" s="28"/>
      <c r="AB39" s="10"/>
    </row>
    <row r="40" customFormat="false" ht="15" hidden="false" customHeight="false" outlineLevel="0" collapsed="false">
      <c r="B40" s="43"/>
      <c r="C40" s="48"/>
      <c r="D40" s="45"/>
      <c r="E40" s="46"/>
      <c r="F40" s="28"/>
      <c r="L40" s="10"/>
      <c r="M40" s="43"/>
      <c r="N40" s="48"/>
      <c r="O40" s="45"/>
      <c r="P40" s="46"/>
      <c r="Q40" s="46"/>
      <c r="R40" s="28"/>
      <c r="AB40" s="10"/>
    </row>
    <row r="41" customFormat="false" ht="15" hidden="false" customHeight="false" outlineLevel="0" collapsed="false">
      <c r="B41" s="43"/>
      <c r="C41" s="48"/>
      <c r="D41" s="45"/>
      <c r="E41" s="46"/>
      <c r="F41" s="28"/>
      <c r="L41" s="10"/>
      <c r="M41" s="43"/>
      <c r="N41" s="48"/>
      <c r="O41" s="45"/>
      <c r="P41" s="46"/>
      <c r="Q41" s="46"/>
      <c r="R41" s="28"/>
      <c r="AB41" s="10"/>
    </row>
    <row r="42" customFormat="false" ht="15" hidden="false" customHeight="false" outlineLevel="0" collapsed="false">
      <c r="B42" s="43"/>
      <c r="C42" s="48"/>
      <c r="D42" s="45"/>
      <c r="E42" s="46"/>
      <c r="F42" s="28"/>
      <c r="L42" s="10"/>
      <c r="M42" s="43"/>
      <c r="N42" s="48"/>
      <c r="O42" s="45"/>
      <c r="P42" s="46"/>
      <c r="Q42" s="46"/>
      <c r="R42" s="28"/>
      <c r="AB42" s="10"/>
    </row>
    <row r="43" customFormat="false" ht="15" hidden="false" customHeight="false" outlineLevel="0" collapsed="false">
      <c r="B43" s="43"/>
      <c r="C43" s="48"/>
      <c r="D43" s="45"/>
      <c r="E43" s="46"/>
      <c r="F43" s="28"/>
      <c r="L43" s="10"/>
      <c r="M43" s="43"/>
      <c r="N43" s="48"/>
      <c r="O43" s="45"/>
      <c r="P43" s="46"/>
      <c r="Q43" s="46"/>
      <c r="R43" s="28"/>
      <c r="AB43" s="10"/>
    </row>
    <row r="44" customFormat="false" ht="15" hidden="false" customHeight="false" outlineLevel="0" collapsed="false">
      <c r="B44" s="43"/>
      <c r="C44" s="48"/>
      <c r="D44" s="45"/>
      <c r="E44" s="46"/>
      <c r="F44" s="28"/>
      <c r="L44" s="10"/>
      <c r="M44" s="43"/>
      <c r="N44" s="48"/>
      <c r="O44" s="45"/>
      <c r="P44" s="46"/>
      <c r="Q44" s="46"/>
      <c r="R44" s="28"/>
      <c r="AB44" s="10"/>
    </row>
    <row r="45" customFormat="false" ht="15" hidden="false" customHeight="false" outlineLevel="0" collapsed="false">
      <c r="B45" s="43"/>
      <c r="C45" s="48"/>
      <c r="D45" s="45"/>
      <c r="E45" s="46"/>
      <c r="F45" s="28"/>
      <c r="L45" s="10"/>
      <c r="M45" s="43"/>
      <c r="N45" s="48"/>
      <c r="O45" s="45"/>
      <c r="P45" s="46"/>
      <c r="Q45" s="46"/>
      <c r="R45" s="28"/>
      <c r="AB45" s="10"/>
    </row>
    <row r="46" customFormat="false" ht="15" hidden="false" customHeight="false" outlineLevel="0" collapsed="false">
      <c r="B46" s="43"/>
      <c r="C46" s="48"/>
      <c r="D46" s="45"/>
      <c r="E46" s="46"/>
      <c r="F46" s="28"/>
      <c r="H46" s="0" t="n">
        <f aca="false">LOG(2)</f>
        <v>0.301029995663981</v>
      </c>
      <c r="L46" s="10"/>
      <c r="M46" s="43"/>
      <c r="N46" s="48"/>
      <c r="O46" s="45"/>
      <c r="P46" s="46"/>
      <c r="Q46" s="46"/>
      <c r="R46" s="28"/>
      <c r="AB46" s="10"/>
    </row>
    <row r="47" customFormat="false" ht="15" hidden="false" customHeight="false" outlineLevel="0" collapsed="false">
      <c r="B47" s="43"/>
      <c r="C47" s="48"/>
      <c r="D47" s="45"/>
      <c r="E47" s="46"/>
      <c r="F47" s="28"/>
      <c r="H47" s="0" t="n">
        <f aca="false">LN(2)</f>
        <v>0.693147180559945</v>
      </c>
      <c r="L47" s="10"/>
      <c r="M47" s="43"/>
      <c r="N47" s="48"/>
      <c r="O47" s="45"/>
      <c r="P47" s="46"/>
      <c r="Q47" s="46"/>
      <c r="R47" s="28"/>
      <c r="AB47" s="10"/>
    </row>
    <row r="48" customFormat="false" ht="15" hidden="false" customHeight="false" outlineLevel="0" collapsed="false">
      <c r="B48" s="43"/>
      <c r="C48" s="48"/>
      <c r="D48" s="45"/>
      <c r="E48" s="46"/>
      <c r="F48" s="28"/>
      <c r="L48" s="10"/>
      <c r="M48" s="43"/>
      <c r="N48" s="48"/>
      <c r="O48" s="45"/>
      <c r="P48" s="46"/>
      <c r="Q48" s="46"/>
      <c r="R48" s="28"/>
      <c r="AB48" s="10"/>
    </row>
    <row r="49" customFormat="false" ht="15" hidden="false" customHeight="false" outlineLevel="0" collapsed="false">
      <c r="B49" s="43"/>
      <c r="C49" s="48"/>
      <c r="D49" s="45"/>
      <c r="E49" s="46"/>
      <c r="F49" s="28"/>
      <c r="L49" s="10"/>
      <c r="M49" s="43"/>
      <c r="N49" s="48"/>
      <c r="O49" s="45"/>
      <c r="P49" s="46"/>
      <c r="Q49" s="46"/>
      <c r="R49" s="28"/>
      <c r="AB49" s="10"/>
    </row>
    <row r="50" customFormat="false" ht="15" hidden="false" customHeight="false" outlineLevel="0" collapsed="false">
      <c r="B50" s="43"/>
      <c r="C50" s="48"/>
      <c r="D50" s="45"/>
      <c r="E50" s="46"/>
      <c r="F50" s="28"/>
      <c r="L50" s="10"/>
      <c r="M50" s="43"/>
      <c r="N50" s="48"/>
      <c r="O50" s="45"/>
      <c r="P50" s="46"/>
      <c r="Q50" s="46"/>
      <c r="R50" s="28"/>
      <c r="AB50" s="10"/>
    </row>
    <row r="51" customFormat="false" ht="15" hidden="false" customHeight="false" outlineLevel="0" collapsed="false">
      <c r="B51" s="43"/>
      <c r="C51" s="48"/>
      <c r="D51" s="45"/>
      <c r="E51" s="46"/>
      <c r="F51" s="28"/>
      <c r="L51" s="10"/>
      <c r="M51" s="43"/>
      <c r="N51" s="48"/>
      <c r="O51" s="45"/>
      <c r="P51" s="46"/>
      <c r="Q51" s="46"/>
      <c r="R51" s="28"/>
      <c r="AB51" s="10"/>
    </row>
    <row r="52" customFormat="false" ht="15" hidden="false" customHeight="false" outlineLevel="0" collapsed="false">
      <c r="B52" s="43"/>
      <c r="C52" s="48"/>
      <c r="D52" s="45"/>
      <c r="E52" s="46"/>
      <c r="F52" s="28"/>
      <c r="L52" s="10"/>
      <c r="M52" s="43"/>
      <c r="N52" s="48"/>
      <c r="O52" s="45"/>
      <c r="P52" s="46"/>
      <c r="Q52" s="46"/>
      <c r="R52" s="28"/>
      <c r="AB52" s="10"/>
    </row>
    <row r="53" customFormat="false" ht="15" hidden="false" customHeight="false" outlineLevel="0" collapsed="false">
      <c r="B53" s="43"/>
      <c r="C53" s="48"/>
      <c r="D53" s="45"/>
      <c r="E53" s="46"/>
      <c r="F53" s="28"/>
      <c r="L53" s="10"/>
      <c r="M53" s="43"/>
      <c r="N53" s="48"/>
      <c r="O53" s="45"/>
      <c r="P53" s="46"/>
      <c r="Q53" s="46"/>
      <c r="R53" s="28"/>
      <c r="AB53" s="10"/>
    </row>
    <row r="54" customFormat="false" ht="15" hidden="false" customHeight="false" outlineLevel="0" collapsed="false">
      <c r="B54" s="43"/>
      <c r="C54" s="48"/>
      <c r="D54" s="45"/>
      <c r="E54" s="46"/>
      <c r="F54" s="28"/>
      <c r="L54" s="10"/>
      <c r="M54" s="43"/>
      <c r="N54" s="48"/>
      <c r="O54" s="45"/>
      <c r="P54" s="46"/>
      <c r="Q54" s="46"/>
      <c r="R54" s="28"/>
      <c r="AB54" s="10"/>
    </row>
    <row r="55" customFormat="false" ht="15" hidden="false" customHeight="false" outlineLevel="0" collapsed="false">
      <c r="B55" s="43"/>
      <c r="C55" s="48"/>
      <c r="D55" s="45"/>
      <c r="E55" s="46"/>
      <c r="F55" s="28"/>
      <c r="L55" s="10"/>
      <c r="M55" s="43"/>
      <c r="N55" s="48"/>
      <c r="O55" s="45"/>
      <c r="P55" s="46"/>
      <c r="Q55" s="46"/>
      <c r="R55" s="28"/>
      <c r="AB55" s="10"/>
    </row>
    <row r="56" customFormat="false" ht="15" hidden="false" customHeight="false" outlineLevel="0" collapsed="false">
      <c r="B56" s="43"/>
      <c r="C56" s="48"/>
      <c r="D56" s="45"/>
      <c r="E56" s="46"/>
      <c r="F56" s="28"/>
      <c r="L56" s="10"/>
      <c r="M56" s="43"/>
      <c r="N56" s="48"/>
      <c r="O56" s="45"/>
      <c r="P56" s="46"/>
      <c r="Q56" s="46"/>
      <c r="R56" s="28"/>
      <c r="AB56" s="10"/>
    </row>
    <row r="57" customFormat="false" ht="15" hidden="false" customHeight="false" outlineLevel="0" collapsed="false">
      <c r="B57" s="43"/>
      <c r="C57" s="48"/>
      <c r="D57" s="45"/>
      <c r="E57" s="46"/>
      <c r="F57" s="28"/>
      <c r="L57" s="10"/>
      <c r="M57" s="43"/>
      <c r="N57" s="48"/>
      <c r="O57" s="45"/>
      <c r="P57" s="46"/>
      <c r="Q57" s="46"/>
      <c r="R57" s="28"/>
      <c r="AB57" s="10"/>
    </row>
    <row r="58" customFormat="false" ht="15.75" hidden="false" customHeight="false" outlineLevel="0" collapsed="false">
      <c r="B58" s="49"/>
      <c r="C58" s="50" t="s">
        <v>21</v>
      </c>
      <c r="D58" s="50" t="n">
        <f aca="false">SUM(D21:D57)</f>
        <v>14.2023980775639</v>
      </c>
      <c r="E58" s="51"/>
      <c r="F58" s="51"/>
      <c r="G58" s="51"/>
      <c r="H58" s="51"/>
      <c r="I58" s="51"/>
      <c r="J58" s="51"/>
      <c r="K58" s="51"/>
      <c r="L58" s="52"/>
      <c r="M58" s="49"/>
      <c r="N58" s="53" t="s">
        <v>21</v>
      </c>
      <c r="O58" s="54" t="n">
        <f aca="false">SUM(O21:O57)</f>
        <v>15.2848666666667</v>
      </c>
      <c r="P58" s="51"/>
      <c r="Q58" s="51"/>
      <c r="R58" s="51"/>
      <c r="S58" s="51"/>
      <c r="T58" s="51"/>
      <c r="U58" s="51"/>
      <c r="V58" s="51"/>
      <c r="W58" s="51"/>
      <c r="X58" s="51"/>
      <c r="Y58" s="51"/>
      <c r="Z58" s="51"/>
      <c r="AA58" s="51"/>
      <c r="AB58" s="52"/>
    </row>
    <row r="59" customFormat="false" ht="20.25" hidden="false" customHeight="false" outlineLevel="0" collapsed="false">
      <c r="E59" s="55" t="s">
        <v>38</v>
      </c>
    </row>
    <row r="60" customFormat="false" ht="15.75" hidden="false" customHeight="false" outlineLevel="0" collapsed="false">
      <c r="J60" s="56" t="s">
        <v>39</v>
      </c>
      <c r="K60" s="57" t="n">
        <f aca="false">($H$62-$H$65)/($H$63-$H$66)/($H$65/$H$66)</f>
        <v>-1.08389580991699</v>
      </c>
    </row>
    <row r="61" customFormat="false" ht="15.75" hidden="false" customHeight="false" outlineLevel="0" collapsed="false">
      <c r="G61" s="58"/>
      <c r="H61" s="58" t="s">
        <v>40</v>
      </c>
      <c r="J61" s="58"/>
      <c r="K61" s="59"/>
    </row>
    <row r="62" customFormat="false" ht="15.75" hidden="false" customHeight="false" outlineLevel="0" collapsed="false">
      <c r="F62" s="58"/>
      <c r="G62" s="58" t="s">
        <v>41</v>
      </c>
      <c r="H62" s="60" t="n">
        <f aca="false">O11</f>
        <v>0.512534548974096</v>
      </c>
      <c r="J62" s="61" t="s">
        <v>42</v>
      </c>
      <c r="K62" s="61" t="n">
        <f aca="false">_xlfn.F.INV.RT(0.05,1,H66)</f>
        <v>5.31765507157871</v>
      </c>
    </row>
    <row r="63" customFormat="false" ht="15.75" hidden="false" customHeight="false" outlineLevel="0" collapsed="false">
      <c r="F63" s="58"/>
      <c r="G63" s="58" t="s">
        <v>43</v>
      </c>
      <c r="H63" s="62" t="n">
        <f aca="false">$X$6-$X$8</f>
        <v>9</v>
      </c>
      <c r="J63" s="61" t="s">
        <v>44</v>
      </c>
      <c r="K63" s="61" t="n">
        <f aca="false">_xlfn.F.INV.RT(0.01,1,H66)</f>
        <v>11.2586241432726</v>
      </c>
    </row>
    <row r="64" customFormat="false" ht="15.75" hidden="false" customHeight="false" outlineLevel="0" collapsed="false">
      <c r="F64" s="58"/>
      <c r="G64" s="58"/>
      <c r="H64" s="58" t="s">
        <v>45</v>
      </c>
    </row>
    <row r="65" customFormat="false" ht="26.25" hidden="false" customHeight="false" outlineLevel="0" collapsed="false">
      <c r="F65" s="58"/>
      <c r="G65" s="58" t="s">
        <v>46</v>
      </c>
      <c r="H65" s="60" t="n">
        <f aca="false">D11</f>
        <v>0.592859257047074</v>
      </c>
      <c r="J65" s="63" t="s">
        <v>47</v>
      </c>
    </row>
    <row r="66" customFormat="false" ht="15.75" hidden="false" customHeight="false" outlineLevel="0" collapsed="false">
      <c r="G66" s="58" t="s">
        <v>48</v>
      </c>
      <c r="H66" s="62" t="n">
        <f aca="false">$G$6-$G$8</f>
        <v>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</TotalTime>
  <Application>LibreOffice/7.5.9.2$Linux_X86_64 LibreOffice_project/50$Build-2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2022-07-18T12:29:45Z</dcterms:created>
  <dc:creator>Viella, Maria</dc:creator>
  <dc:description/>
  <dc:language>en-DK</dc:language>
  <cp:lastModifiedBy/>
  <dcterms:modified xsi:type="dcterms:W3CDTF">2026-06-29T17:43:42Z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